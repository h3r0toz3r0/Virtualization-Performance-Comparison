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Google Drive\Graduate Studies\EECE 5643 Simulation and Performance Evaluation\eece5643 project\Hypervisor vs Container Performance Evaluation\benchmarks\"/>
    </mc:Choice>
  </mc:AlternateContent>
  <xr:revisionPtr revIDLastSave="0" documentId="13_ncr:1_{0D705DB3-10A2-41D1-8BC3-321CB489FA6A}" xr6:coauthVersionLast="46" xr6:coauthVersionMax="46" xr10:uidLastSave="{00000000-0000-0000-0000-000000000000}"/>
  <bookViews>
    <workbookView xWindow="30612" yWindow="-108" windowWidth="30936" windowHeight="16896" xr2:uid="{00000000-000D-0000-FFFF-FFFF00000000}"/>
  </bookViews>
  <sheets>
    <sheet name="iozone_results" sheetId="5" r:id="rId1"/>
    <sheet name="linpack_results" sheetId="3" r:id="rId2"/>
    <sheet name="netperf_results" sheetId="4" r:id="rId3"/>
    <sheet name="stream_results" sheetId="1" r:id="rId4"/>
  </sheets>
  <calcPr calcId="191029"/>
</workbook>
</file>

<file path=xl/calcChain.xml><?xml version="1.0" encoding="utf-8"?>
<calcChain xmlns="http://schemas.openxmlformats.org/spreadsheetml/2006/main">
  <c r="V16" i="5" l="1"/>
  <c r="V11" i="5"/>
  <c r="U16" i="5"/>
  <c r="U11" i="5"/>
  <c r="V15" i="5"/>
  <c r="V10" i="5"/>
  <c r="U15" i="5"/>
  <c r="U10" i="5"/>
  <c r="V14" i="5"/>
  <c r="V9" i="5"/>
  <c r="U14" i="5"/>
  <c r="U9" i="5"/>
  <c r="V13" i="5"/>
  <c r="V8" i="5"/>
  <c r="U13" i="5"/>
  <c r="U8" i="5"/>
  <c r="S16" i="5"/>
  <c r="S11" i="5"/>
  <c r="R16" i="5"/>
  <c r="R11" i="5"/>
  <c r="S15" i="5"/>
  <c r="S10" i="5"/>
  <c r="R15" i="5"/>
  <c r="R10" i="5"/>
  <c r="S14" i="5"/>
  <c r="S9" i="5"/>
  <c r="R14" i="5"/>
  <c r="R9" i="5"/>
  <c r="S13" i="5"/>
  <c r="S8" i="5"/>
  <c r="R13" i="5"/>
  <c r="R8" i="5"/>
  <c r="P16" i="5"/>
  <c r="P11" i="5"/>
  <c r="O16" i="5"/>
  <c r="O11" i="5"/>
  <c r="P15" i="5"/>
  <c r="P10" i="5"/>
  <c r="O15" i="5"/>
  <c r="O10" i="5"/>
  <c r="P14" i="5"/>
  <c r="P9" i="5"/>
  <c r="O14" i="5"/>
  <c r="O9" i="5"/>
  <c r="P13" i="5"/>
  <c r="P8" i="5"/>
  <c r="O13" i="5"/>
  <c r="O8" i="5"/>
  <c r="H72" i="5"/>
  <c r="H73" i="5"/>
  <c r="U58" i="5" s="1"/>
  <c r="H74" i="5"/>
  <c r="G74" i="5"/>
  <c r="G73" i="5"/>
  <c r="G72" i="5"/>
  <c r="F72" i="5"/>
  <c r="F73" i="5"/>
  <c r="T58" i="5" s="1"/>
  <c r="F74" i="5"/>
  <c r="E74" i="5"/>
  <c r="E73" i="5"/>
  <c r="E72" i="5"/>
  <c r="D72" i="5"/>
  <c r="D73" i="5"/>
  <c r="D74" i="5"/>
  <c r="C74" i="5"/>
  <c r="C73" i="5"/>
  <c r="C72" i="5"/>
  <c r="H64" i="5"/>
  <c r="H65" i="5"/>
  <c r="H66" i="5"/>
  <c r="G66" i="5"/>
  <c r="G65" i="5"/>
  <c r="G64" i="5"/>
  <c r="F64" i="5"/>
  <c r="F65" i="5"/>
  <c r="Q58" i="5" s="1"/>
  <c r="F66" i="5"/>
  <c r="E66" i="5"/>
  <c r="E65" i="5"/>
  <c r="E64" i="5"/>
  <c r="D64" i="5"/>
  <c r="D65" i="5"/>
  <c r="P58" i="5" s="1"/>
  <c r="D66" i="5"/>
  <c r="C66" i="5"/>
  <c r="C65" i="5"/>
  <c r="C64" i="5"/>
  <c r="H56" i="5"/>
  <c r="H57" i="5"/>
  <c r="H58" i="5"/>
  <c r="G58" i="5"/>
  <c r="G57" i="5"/>
  <c r="G56" i="5"/>
  <c r="F58" i="5"/>
  <c r="F56" i="5"/>
  <c r="F57" i="5"/>
  <c r="E58" i="5"/>
  <c r="E57" i="5"/>
  <c r="E56" i="5"/>
  <c r="D56" i="5"/>
  <c r="D57" i="5"/>
  <c r="D58" i="5"/>
  <c r="C58" i="5"/>
  <c r="C57" i="5"/>
  <c r="C56" i="5"/>
  <c r="H48" i="5"/>
  <c r="H49" i="5"/>
  <c r="L58" i="5" s="1"/>
  <c r="H50" i="5"/>
  <c r="G50" i="5"/>
  <c r="G49" i="5"/>
  <c r="G48" i="5"/>
  <c r="F48" i="5"/>
  <c r="F49" i="5"/>
  <c r="F50" i="5"/>
  <c r="E50" i="5"/>
  <c r="E49" i="5"/>
  <c r="E48" i="5"/>
  <c r="D48" i="5"/>
  <c r="D49" i="5"/>
  <c r="D50" i="5"/>
  <c r="C50" i="5"/>
  <c r="C49" i="5"/>
  <c r="C48" i="5"/>
  <c r="D24" i="1"/>
  <c r="E24" i="1"/>
  <c r="F24" i="1"/>
  <c r="G24" i="1"/>
  <c r="H24" i="1"/>
  <c r="I24" i="1"/>
  <c r="J24" i="1"/>
  <c r="K24" i="1"/>
  <c r="L24" i="1"/>
  <c r="M24" i="1"/>
  <c r="N24" i="1"/>
  <c r="D25" i="1"/>
  <c r="E25" i="1"/>
  <c r="F25" i="1"/>
  <c r="G25" i="1"/>
  <c r="H25" i="1"/>
  <c r="I25" i="1"/>
  <c r="J25" i="1"/>
  <c r="K25" i="1"/>
  <c r="L25" i="1"/>
  <c r="M25" i="1"/>
  <c r="N25" i="1"/>
  <c r="D26" i="1"/>
  <c r="E26" i="1"/>
  <c r="F26" i="1"/>
  <c r="G26" i="1"/>
  <c r="H26" i="1"/>
  <c r="I26" i="1"/>
  <c r="J26" i="1"/>
  <c r="K26" i="1"/>
  <c r="L26" i="1"/>
  <c r="M26" i="1"/>
  <c r="N26" i="1"/>
  <c r="D27" i="1"/>
  <c r="E27" i="1"/>
  <c r="F27" i="1"/>
  <c r="G27" i="1"/>
  <c r="H27" i="1"/>
  <c r="I27" i="1"/>
  <c r="J27" i="1"/>
  <c r="K27" i="1"/>
  <c r="L27" i="1"/>
  <c r="M27" i="1"/>
  <c r="N27" i="1"/>
  <c r="C27" i="1"/>
  <c r="C26" i="1"/>
  <c r="C25" i="1"/>
  <c r="C24" i="1"/>
  <c r="D23" i="1"/>
  <c r="E23" i="1"/>
  <c r="F23" i="1"/>
  <c r="G23" i="1"/>
  <c r="H23" i="1"/>
  <c r="I23" i="1"/>
  <c r="J23" i="1"/>
  <c r="K23" i="1"/>
  <c r="L23" i="1"/>
  <c r="M23" i="1"/>
  <c r="N23" i="1"/>
  <c r="C23" i="1"/>
  <c r="N18" i="1"/>
  <c r="N19" i="1"/>
  <c r="D18" i="1"/>
  <c r="E18" i="1"/>
  <c r="F18" i="1"/>
  <c r="G18" i="1"/>
  <c r="H18" i="1"/>
  <c r="I18" i="1"/>
  <c r="J18" i="1"/>
  <c r="K18" i="1"/>
  <c r="L18" i="1"/>
  <c r="M18" i="1"/>
  <c r="D19" i="1"/>
  <c r="E19" i="1"/>
  <c r="F19" i="1"/>
  <c r="G19" i="1"/>
  <c r="H19" i="1"/>
  <c r="I19" i="1"/>
  <c r="J19" i="1"/>
  <c r="K19" i="1"/>
  <c r="L19" i="1"/>
  <c r="M19" i="1"/>
  <c r="C19" i="1"/>
  <c r="C18" i="1"/>
  <c r="N17" i="1"/>
  <c r="D17" i="1"/>
  <c r="E17" i="1"/>
  <c r="F17" i="1"/>
  <c r="G17" i="1"/>
  <c r="H17" i="1"/>
  <c r="I17" i="1"/>
  <c r="J17" i="1"/>
  <c r="K17" i="1"/>
  <c r="L17" i="1"/>
  <c r="M17" i="1"/>
  <c r="C17" i="1"/>
  <c r="C24" i="3"/>
  <c r="C25" i="3"/>
  <c r="D23" i="3"/>
  <c r="E23" i="3"/>
  <c r="C23" i="3"/>
  <c r="C19" i="3"/>
  <c r="C27" i="3" s="1"/>
  <c r="C26" i="3"/>
  <c r="E27" i="3"/>
  <c r="D24" i="3"/>
  <c r="E24" i="3"/>
  <c r="D25" i="3"/>
  <c r="E25" i="3"/>
  <c r="D26" i="3"/>
  <c r="E26" i="3"/>
  <c r="D27" i="3"/>
  <c r="D17" i="3"/>
  <c r="E17" i="3"/>
  <c r="C17" i="3"/>
  <c r="E18" i="3"/>
  <c r="D18" i="3"/>
  <c r="C18" i="3"/>
  <c r="E16" i="3"/>
  <c r="D16" i="3"/>
  <c r="C16" i="3"/>
  <c r="E19" i="3"/>
  <c r="H76" i="5"/>
  <c r="F76" i="5"/>
  <c r="G76" i="5"/>
  <c r="H71" i="5"/>
  <c r="U56" i="5" s="1"/>
  <c r="G71" i="5"/>
  <c r="U47" i="5" s="1"/>
  <c r="H75" i="5"/>
  <c r="G75" i="5"/>
  <c r="H68" i="5"/>
  <c r="G68" i="5"/>
  <c r="H63" i="5"/>
  <c r="R56" i="5" s="1"/>
  <c r="G63" i="5"/>
  <c r="R47" i="5" s="1"/>
  <c r="H67" i="5"/>
  <c r="G67" i="5"/>
  <c r="H60" i="5"/>
  <c r="G60" i="5"/>
  <c r="H55" i="5"/>
  <c r="O56" i="5" s="1"/>
  <c r="G55" i="5"/>
  <c r="O47" i="5" s="1"/>
  <c r="H59" i="5"/>
  <c r="G59" i="5"/>
  <c r="H52" i="5"/>
  <c r="G52" i="5"/>
  <c r="H47" i="5"/>
  <c r="L56" i="5" s="1"/>
  <c r="G47" i="5"/>
  <c r="L47" i="5" s="1"/>
  <c r="H51" i="5"/>
  <c r="L60" i="5" s="1"/>
  <c r="G51" i="5"/>
  <c r="L51" i="5" s="1"/>
  <c r="E76" i="5"/>
  <c r="F71" i="5"/>
  <c r="T56" i="5" s="1"/>
  <c r="E71" i="5"/>
  <c r="T47" i="5" s="1"/>
  <c r="F75" i="5"/>
  <c r="E75" i="5"/>
  <c r="F68" i="5"/>
  <c r="E68" i="5"/>
  <c r="F63" i="5"/>
  <c r="Q56" i="5" s="1"/>
  <c r="E63" i="5"/>
  <c r="Q47" i="5" s="1"/>
  <c r="F67" i="5"/>
  <c r="E67" i="5"/>
  <c r="F60" i="5"/>
  <c r="E60" i="5"/>
  <c r="F55" i="5"/>
  <c r="N56" i="5" s="1"/>
  <c r="E55" i="5"/>
  <c r="N47" i="5" s="1"/>
  <c r="F59" i="5"/>
  <c r="E59" i="5"/>
  <c r="F52" i="5"/>
  <c r="E52" i="5"/>
  <c r="F47" i="5"/>
  <c r="K56" i="5" s="1"/>
  <c r="E47" i="5"/>
  <c r="K47" i="5" s="1"/>
  <c r="F51" i="5"/>
  <c r="K60" i="5" s="1"/>
  <c r="E51" i="5"/>
  <c r="D75" i="5"/>
  <c r="D71" i="5"/>
  <c r="S56" i="5" s="1"/>
  <c r="C71" i="5"/>
  <c r="S47" i="5" s="1"/>
  <c r="C75" i="5"/>
  <c r="D67" i="5"/>
  <c r="D63" i="5"/>
  <c r="P56" i="5" s="1"/>
  <c r="C63" i="5"/>
  <c r="P47" i="5" s="1"/>
  <c r="C67" i="5"/>
  <c r="D59" i="5"/>
  <c r="D55" i="5"/>
  <c r="M56" i="5" s="1"/>
  <c r="C55" i="5"/>
  <c r="M47" i="5" s="1"/>
  <c r="C59" i="5"/>
  <c r="D51" i="5"/>
  <c r="D47" i="5"/>
  <c r="J56" i="5" s="1"/>
  <c r="C47" i="5"/>
  <c r="J47" i="5" s="1"/>
  <c r="C51" i="5"/>
  <c r="G20" i="1"/>
  <c r="N16" i="1"/>
  <c r="M16" i="1"/>
  <c r="L16" i="1"/>
  <c r="K16" i="1"/>
  <c r="N20" i="1"/>
  <c r="M20" i="1"/>
  <c r="L20" i="1"/>
  <c r="K20" i="1"/>
  <c r="J16" i="1"/>
  <c r="I16" i="1"/>
  <c r="H16" i="1"/>
  <c r="G16" i="1"/>
  <c r="J20" i="1"/>
  <c r="I20" i="1"/>
  <c r="H20" i="1"/>
  <c r="D20" i="1"/>
  <c r="E20" i="1"/>
  <c r="F20" i="1"/>
  <c r="D16" i="1"/>
  <c r="E16" i="1"/>
  <c r="F16" i="1"/>
  <c r="C16" i="1"/>
  <c r="C20" i="1"/>
  <c r="E15" i="3"/>
  <c r="D15" i="3"/>
  <c r="D19" i="3"/>
  <c r="C15" i="3"/>
  <c r="D76" i="5"/>
  <c r="C76" i="5"/>
  <c r="D68" i="5"/>
  <c r="C68" i="5"/>
  <c r="D60" i="5"/>
  <c r="C60" i="5"/>
  <c r="D52" i="5"/>
  <c r="C52" i="5"/>
  <c r="E20" i="3"/>
  <c r="D20" i="3"/>
  <c r="C20" i="3"/>
  <c r="N21" i="1"/>
  <c r="M21" i="1"/>
  <c r="L21" i="1"/>
  <c r="K21" i="1"/>
  <c r="J21" i="1"/>
  <c r="I21" i="1"/>
  <c r="H21" i="1"/>
  <c r="G21" i="1"/>
  <c r="D21" i="1"/>
  <c r="E21" i="1"/>
  <c r="F21" i="1"/>
  <c r="C21" i="1"/>
  <c r="Q60" i="5" l="1"/>
  <c r="J58" i="5"/>
  <c r="R58" i="5"/>
  <c r="K50" i="5"/>
  <c r="O50" i="5"/>
  <c r="T51" i="5"/>
  <c r="J60" i="5"/>
  <c r="P60" i="5"/>
  <c r="T60" i="5"/>
  <c r="K58" i="5"/>
  <c r="M49" i="5"/>
  <c r="O58" i="5"/>
  <c r="S58" i="5"/>
  <c r="Q50" i="5"/>
  <c r="M50" i="5"/>
  <c r="U51" i="5"/>
  <c r="U60" i="5"/>
  <c r="U50" i="5"/>
  <c r="N59" i="5"/>
  <c r="L50" i="5"/>
  <c r="M58" i="5"/>
  <c r="J51" i="5"/>
  <c r="J49" i="5"/>
  <c r="O51" i="5"/>
  <c r="O60" i="5"/>
  <c r="P51" i="5"/>
  <c r="T48" i="5"/>
  <c r="M59" i="5"/>
  <c r="Q59" i="5"/>
  <c r="U59" i="5"/>
  <c r="S48" i="5"/>
  <c r="N48" i="5"/>
  <c r="S50" i="5"/>
  <c r="K59" i="5"/>
  <c r="O59" i="5"/>
  <c r="S59" i="5"/>
  <c r="L49" i="5"/>
  <c r="P50" i="5"/>
  <c r="J57" i="5"/>
  <c r="R57" i="5"/>
  <c r="K48" i="5"/>
  <c r="T50" i="5"/>
  <c r="M51" i="5"/>
  <c r="S51" i="5"/>
  <c r="Q51" i="5"/>
  <c r="R60" i="5"/>
  <c r="K49" i="5"/>
  <c r="L59" i="5"/>
  <c r="M57" i="5"/>
  <c r="O49" i="5"/>
  <c r="P59" i="5"/>
  <c r="Q57" i="5"/>
  <c r="S49" i="5"/>
  <c r="T59" i="5"/>
  <c r="U57" i="5"/>
  <c r="J48" i="5"/>
  <c r="R48" i="5"/>
  <c r="P57" i="5"/>
  <c r="T57" i="5"/>
  <c r="L57" i="5"/>
  <c r="R49" i="5"/>
  <c r="M60" i="5"/>
  <c r="S60" i="5"/>
  <c r="N60" i="5"/>
  <c r="J50" i="5"/>
  <c r="N50" i="5"/>
  <c r="Q48" i="5"/>
  <c r="R50" i="5"/>
  <c r="U48" i="5"/>
  <c r="N49" i="5"/>
  <c r="K51" i="5"/>
  <c r="J59" i="5"/>
  <c r="K57" i="5"/>
  <c r="N58" i="5"/>
  <c r="O57" i="5"/>
  <c r="R59" i="5"/>
  <c r="S57" i="5"/>
  <c r="L48" i="5"/>
  <c r="N57" i="5"/>
  <c r="P48" i="5"/>
  <c r="O48" i="5"/>
  <c r="N51" i="5"/>
  <c r="P49" i="5"/>
  <c r="R51" i="5"/>
  <c r="T49" i="5"/>
  <c r="U49" i="5"/>
  <c r="Q49" i="5"/>
  <c r="M48" i="5"/>
</calcChain>
</file>

<file path=xl/sharedStrings.xml><?xml version="1.0" encoding="utf-8"?>
<sst xmlns="http://schemas.openxmlformats.org/spreadsheetml/2006/main" count="201" uniqueCount="52">
  <si>
    <t>Docker</t>
  </si>
  <si>
    <t>Copy (MB/s)</t>
  </si>
  <si>
    <t>Scale (MB/s)</t>
  </si>
  <si>
    <t>Add (MB/s)</t>
  </si>
  <si>
    <t>Triad (MB/s)</t>
  </si>
  <si>
    <t>std</t>
  </si>
  <si>
    <t>Native</t>
  </si>
  <si>
    <t>MFLOPS</t>
  </si>
  <si>
    <t>kB</t>
  </si>
  <si>
    <t>reclen</t>
  </si>
  <si>
    <t>write</t>
  </si>
  <si>
    <t>read</t>
  </si>
  <si>
    <t>64 kB</t>
  </si>
  <si>
    <t>512 kB</t>
  </si>
  <si>
    <t>4K kB</t>
  </si>
  <si>
    <t>32K kB</t>
  </si>
  <si>
    <t>Docker (no volume bind)</t>
  </si>
  <si>
    <t>VM (caching disabled)</t>
  </si>
  <si>
    <t>maximum</t>
  </si>
  <si>
    <t>minimum</t>
  </si>
  <si>
    <t>Virtual Machine</t>
  </si>
  <si>
    <t>Native (MFLOPS)</t>
  </si>
  <si>
    <t>Docker (MFLOPS)</t>
  </si>
  <si>
    <t>Virtual Machine (MFLOPS)</t>
  </si>
  <si>
    <t>write (kB/s)</t>
  </si>
  <si>
    <t>read (kB/s)</t>
  </si>
  <si>
    <t>1K</t>
  </si>
  <si>
    <t>2K</t>
  </si>
  <si>
    <t>4K</t>
  </si>
  <si>
    <t>8K</t>
  </si>
  <si>
    <t>16K</t>
  </si>
  <si>
    <t>32K</t>
  </si>
  <si>
    <t>Q1</t>
  </si>
  <si>
    <t>Q3</t>
  </si>
  <si>
    <t>median</t>
  </si>
  <si>
    <t>box plot calc</t>
  </si>
  <si>
    <t>Docker Container</t>
  </si>
  <si>
    <t>Copy</t>
  </si>
  <si>
    <t>Scale</t>
  </si>
  <si>
    <t xml:space="preserve">Add </t>
  </si>
  <si>
    <t xml:space="preserve">Triad </t>
  </si>
  <si>
    <t xml:space="preserve">Copy </t>
  </si>
  <si>
    <t>Add</t>
  </si>
  <si>
    <t>Triad</t>
  </si>
  <si>
    <t>Q2</t>
  </si>
  <si>
    <t>box plot calc for write</t>
  </si>
  <si>
    <t>box plot calc for read</t>
  </si>
  <si>
    <t>Mbps</t>
  </si>
  <si>
    <t>Message Size (bytes)</t>
  </si>
  <si>
    <t>Docker Container (nethost)</t>
  </si>
  <si>
    <t>mean</t>
  </si>
  <si>
    <t>VM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</si>
</sst>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0"/>
    <numFmt numFmtId="165" formatCode="#,##0.000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6">
    <xf numFmtId="0" fontId="0" fillId="0" borderId="0" xfId="0"/>
    <xf numFmtId="4" fontId="0" fillId="0" borderId="13" xfId="0" applyNumberFormat="1" applyBorder="1"/>
    <xf numFmtId="4" fontId="0" fillId="0" borderId="14" xfId="0" applyNumberFormat="1" applyBorder="1"/>
    <xf numFmtId="4" fontId="0" fillId="0" borderId="15" xfId="0" applyNumberFormat="1" applyBorder="1"/>
    <xf numFmtId="4" fontId="0" fillId="0" borderId="0" xfId="0" applyNumberFormat="1"/>
    <xf numFmtId="1" fontId="0" fillId="0" borderId="0" xfId="0" applyNumberFormat="1"/>
    <xf numFmtId="1" fontId="0" fillId="0" borderId="13" xfId="0" applyNumberFormat="1" applyBorder="1"/>
    <xf numFmtId="0" fontId="0" fillId="0" borderId="0" xfId="0" applyAlignment="1"/>
    <xf numFmtId="0" fontId="0" fillId="0" borderId="16" xfId="0" applyBorder="1"/>
    <xf numFmtId="4" fontId="0" fillId="0" borderId="16" xfId="0" applyNumberFormat="1" applyBorder="1"/>
    <xf numFmtId="0" fontId="0" fillId="0" borderId="17" xfId="0" applyBorder="1"/>
    <xf numFmtId="4" fontId="0" fillId="0" borderId="18" xfId="0" applyNumberFormat="1" applyBorder="1"/>
    <xf numFmtId="4" fontId="0" fillId="0" borderId="17" xfId="0" applyNumberFormat="1" applyBorder="1"/>
    <xf numFmtId="4" fontId="0" fillId="0" borderId="0" xfId="0" applyNumberFormat="1" applyBorder="1"/>
    <xf numFmtId="0" fontId="0" fillId="0" borderId="0" xfId="0" applyBorder="1"/>
    <xf numFmtId="0" fontId="0" fillId="0" borderId="10" xfId="0" applyBorder="1"/>
    <xf numFmtId="0" fontId="0" fillId="0" borderId="11" xfId="0" applyBorder="1"/>
    <xf numFmtId="1" fontId="0" fillId="0" borderId="17" xfId="0" applyNumberFormat="1" applyBorder="1"/>
    <xf numFmtId="0" fontId="0" fillId="0" borderId="16" xfId="0" applyBorder="1" applyAlignment="1"/>
    <xf numFmtId="0" fontId="0" fillId="0" borderId="17" xfId="0" applyBorder="1" applyAlignment="1"/>
    <xf numFmtId="0" fontId="0" fillId="0" borderId="19" xfId="0" applyBorder="1"/>
    <xf numFmtId="4" fontId="0" fillId="0" borderId="0" xfId="0" applyNumberFormat="1" applyAlignment="1"/>
    <xf numFmtId="0" fontId="0" fillId="0" borderId="24" xfId="0" applyBorder="1"/>
    <xf numFmtId="0" fontId="0" fillId="0" borderId="25" xfId="0" applyBorder="1"/>
    <xf numFmtId="0" fontId="0" fillId="0" borderId="0" xfId="0" applyAlignment="1">
      <alignment horizontal="right"/>
    </xf>
    <xf numFmtId="0" fontId="0" fillId="0" borderId="12" xfId="0" applyBorder="1"/>
    <xf numFmtId="0" fontId="0" fillId="0" borderId="17" xfId="0" applyFill="1" applyBorder="1"/>
    <xf numFmtId="0" fontId="0" fillId="0" borderId="26" xfId="0" applyBorder="1"/>
    <xf numFmtId="164" fontId="0" fillId="0" borderId="27" xfId="0" applyNumberFormat="1" applyBorder="1"/>
    <xf numFmtId="164" fontId="0" fillId="0" borderId="28" xfId="0" applyNumberFormat="1" applyBorder="1"/>
    <xf numFmtId="0" fontId="0" fillId="0" borderId="29" xfId="0" applyBorder="1"/>
    <xf numFmtId="0" fontId="0" fillId="0" borderId="22" xfId="0" applyBorder="1"/>
    <xf numFmtId="165" fontId="0" fillId="0" borderId="0" xfId="0" applyNumberFormat="1" applyBorder="1"/>
    <xf numFmtId="165" fontId="0" fillId="0" borderId="30" xfId="0" applyNumberFormat="1" applyBorder="1"/>
    <xf numFmtId="165" fontId="0" fillId="0" borderId="31" xfId="0" applyNumberFormat="1" applyBorder="1"/>
    <xf numFmtId="165" fontId="0" fillId="0" borderId="23" xfId="0" applyNumberFormat="1" applyBorder="1"/>
    <xf numFmtId="164" fontId="0" fillId="0" borderId="16" xfId="0" applyNumberFormat="1" applyBorder="1"/>
    <xf numFmtId="164" fontId="0" fillId="0" borderId="18" xfId="0" applyNumberFormat="1" applyBorder="1"/>
    <xf numFmtId="164" fontId="0" fillId="0" borderId="14" xfId="0" applyNumberFormat="1" applyBorder="1"/>
    <xf numFmtId="164" fontId="0" fillId="0" borderId="15" xfId="0" applyNumberFormat="1" applyBorder="1"/>
    <xf numFmtId="0" fontId="18" fillId="0" borderId="0" xfId="0" applyFont="1"/>
    <xf numFmtId="4" fontId="0" fillId="0" borderId="16" xfId="0" applyNumberFormat="1" applyFill="1" applyBorder="1"/>
    <xf numFmtId="4" fontId="0" fillId="0" borderId="0" xfId="0" applyNumberFormat="1" applyAlignment="1">
      <alignment horizontal="right"/>
    </xf>
    <xf numFmtId="4" fontId="0" fillId="0" borderId="19" xfId="0" applyNumberFormat="1" applyBorder="1"/>
    <xf numFmtId="4" fontId="0" fillId="0" borderId="24" xfId="0" applyNumberFormat="1" applyBorder="1"/>
    <xf numFmtId="3" fontId="0" fillId="0" borderId="24" xfId="0" applyNumberFormat="1" applyBorder="1" applyAlignment="1">
      <alignment horizontal="right"/>
    </xf>
    <xf numFmtId="3" fontId="0" fillId="0" borderId="0" xfId="0" applyNumberFormat="1" applyBorder="1" applyAlignment="1">
      <alignment horizontal="right"/>
    </xf>
    <xf numFmtId="3" fontId="0" fillId="0" borderId="32" xfId="0" applyNumberFormat="1" applyBorder="1" applyAlignment="1">
      <alignment horizontal="right"/>
    </xf>
    <xf numFmtId="4" fontId="0" fillId="0" borderId="33" xfId="0" applyNumberFormat="1" applyBorder="1"/>
    <xf numFmtId="3" fontId="0" fillId="0" borderId="33" xfId="0" applyNumberFormat="1" applyBorder="1" applyAlignment="1">
      <alignment horizontal="right"/>
    </xf>
    <xf numFmtId="4" fontId="0" fillId="0" borderId="20" xfId="0" applyNumberFormat="1" applyBorder="1"/>
    <xf numFmtId="4" fontId="0" fillId="0" borderId="25" xfId="0" applyNumberFormat="1" applyBorder="1"/>
    <xf numFmtId="4" fontId="0" fillId="0" borderId="34" xfId="0" applyNumberFormat="1" applyBorder="1"/>
    <xf numFmtId="3" fontId="0" fillId="0" borderId="24" xfId="0" applyNumberFormat="1" applyBorder="1"/>
    <xf numFmtId="3" fontId="0" fillId="0" borderId="0" xfId="0" applyNumberFormat="1" applyBorder="1"/>
    <xf numFmtId="4" fontId="0" fillId="0" borderId="20" xfId="0" applyNumberFormat="1" applyBorder="1" applyAlignment="1">
      <alignment horizontal="center"/>
    </xf>
    <xf numFmtId="4" fontId="0" fillId="0" borderId="21" xfId="0" applyNumberFormat="1" applyBorder="1" applyAlignment="1">
      <alignment horizontal="center"/>
    </xf>
    <xf numFmtId="4" fontId="0" fillId="0" borderId="0" xfId="0" applyNumberFormat="1" applyBorder="1" applyAlignment="1">
      <alignment horizontal="center"/>
    </xf>
    <xf numFmtId="4" fontId="0" fillId="0" borderId="25" xfId="0" applyNumberFormat="1" applyBorder="1" applyAlignment="1">
      <alignment horizontal="center"/>
    </xf>
    <xf numFmtId="0" fontId="0" fillId="0" borderId="0" xfId="0" applyAlignment="1">
      <alignment horizontal="center"/>
    </xf>
    <xf numFmtId="4" fontId="0" fillId="0" borderId="11" xfId="0" applyNumberFormat="1" applyBorder="1" applyAlignment="1">
      <alignment horizontal="center"/>
    </xf>
    <xf numFmtId="4" fontId="0" fillId="0" borderId="12" xfId="0" applyNumberForma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520967017259"/>
          <c:y val="4.1484051120653009E-2"/>
          <c:w val="0.77659028576484124"/>
          <c:h val="0.81942071969829922"/>
        </c:manualLayout>
      </c:layout>
      <c:barChart>
        <c:barDir val="col"/>
        <c:grouping val="stacked"/>
        <c:varyColors val="0"/>
        <c:ser>
          <c:idx val="0"/>
          <c:order val="0"/>
          <c:spPr>
            <a:noFill/>
            <a:ln>
              <a:noFill/>
            </a:ln>
            <a:effectLst/>
          </c:spPr>
          <c:invertIfNegative val="0"/>
          <c:cat>
            <c:strRef>
              <c:f>(iozone_results!$J$45:$U$45,iozone_results!$J$45:$U$45,iozone_results!$J$45:$U$45)</c:f>
              <c:strCache>
                <c:ptCount val="35"/>
                <c:pt idx="1">
                  <c:v>64</c:v>
                </c:pt>
                <c:pt idx="4">
                  <c:v>512</c:v>
                </c:pt>
                <c:pt idx="7">
                  <c:v>4K</c:v>
                </c:pt>
                <c:pt idx="10">
                  <c:v>32K</c:v>
                </c:pt>
                <c:pt idx="13">
                  <c:v>64</c:v>
                </c:pt>
                <c:pt idx="16">
                  <c:v>512</c:v>
                </c:pt>
                <c:pt idx="19">
                  <c:v>4K</c:v>
                </c:pt>
                <c:pt idx="22">
                  <c:v>32K</c:v>
                </c:pt>
                <c:pt idx="25">
                  <c:v>64</c:v>
                </c:pt>
                <c:pt idx="28">
                  <c:v>512</c:v>
                </c:pt>
                <c:pt idx="31">
                  <c:v>4K</c:v>
                </c:pt>
                <c:pt idx="34">
                  <c:v>32K</c:v>
                </c:pt>
              </c:strCache>
            </c:strRef>
          </c:cat>
          <c:val>
            <c:numRef>
              <c:f>iozone_results!$J$47:$U$47</c:f>
              <c:numCache>
                <c:formatCode>#,##0.00</c:formatCode>
                <c:ptCount val="12"/>
                <c:pt idx="0">
                  <c:v>443837</c:v>
                </c:pt>
                <c:pt idx="1">
                  <c:v>476959</c:v>
                </c:pt>
                <c:pt idx="2">
                  <c:v>503814</c:v>
                </c:pt>
                <c:pt idx="3">
                  <c:v>734482</c:v>
                </c:pt>
                <c:pt idx="4">
                  <c:v>653762</c:v>
                </c:pt>
                <c:pt idx="5">
                  <c:v>793951</c:v>
                </c:pt>
                <c:pt idx="6">
                  <c:v>891589</c:v>
                </c:pt>
                <c:pt idx="7">
                  <c:v>777657</c:v>
                </c:pt>
                <c:pt idx="8">
                  <c:v>576741</c:v>
                </c:pt>
                <c:pt idx="9">
                  <c:v>954862</c:v>
                </c:pt>
                <c:pt idx="10">
                  <c:v>871075</c:v>
                </c:pt>
                <c:pt idx="11">
                  <c:v>198586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0-4310-BC90-25C1D5B941EF}"/>
            </c:ext>
          </c:extLst>
        </c:ser>
        <c:ser>
          <c:idx val="1"/>
          <c:order val="1"/>
          <c:spPr>
            <a:noFill/>
            <a:ln>
              <a:noFill/>
            </a:ln>
            <a:effectLst/>
          </c:spPr>
          <c:invertIfNegative val="0"/>
          <c:errBars>
            <c:errBarType val="min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(iozone_results!$J$45:$U$45,iozone_results!$J$45:$U$45,iozone_results!$J$45:$U$45)</c:f>
              <c:strCache>
                <c:ptCount val="35"/>
                <c:pt idx="1">
                  <c:v>64</c:v>
                </c:pt>
                <c:pt idx="4">
                  <c:v>512</c:v>
                </c:pt>
                <c:pt idx="7">
                  <c:v>4K</c:v>
                </c:pt>
                <c:pt idx="10">
                  <c:v>32K</c:v>
                </c:pt>
                <c:pt idx="13">
                  <c:v>64</c:v>
                </c:pt>
                <c:pt idx="16">
                  <c:v>512</c:v>
                </c:pt>
                <c:pt idx="19">
                  <c:v>4K</c:v>
                </c:pt>
                <c:pt idx="22">
                  <c:v>32K</c:v>
                </c:pt>
                <c:pt idx="25">
                  <c:v>64</c:v>
                </c:pt>
                <c:pt idx="28">
                  <c:v>512</c:v>
                </c:pt>
                <c:pt idx="31">
                  <c:v>4K</c:v>
                </c:pt>
                <c:pt idx="34">
                  <c:v>32K</c:v>
                </c:pt>
              </c:strCache>
            </c:strRef>
          </c:cat>
          <c:val>
            <c:numRef>
              <c:f>iozone_results!$J$48:$U$48</c:f>
              <c:numCache>
                <c:formatCode>#,##0.00</c:formatCode>
                <c:ptCount val="12"/>
                <c:pt idx="0">
                  <c:v>111249.25</c:v>
                </c:pt>
                <c:pt idx="1">
                  <c:v>30666</c:v>
                </c:pt>
                <c:pt idx="2">
                  <c:v>131086.75</c:v>
                </c:pt>
                <c:pt idx="3">
                  <c:v>54169.5</c:v>
                </c:pt>
                <c:pt idx="4">
                  <c:v>61160.5</c:v>
                </c:pt>
                <c:pt idx="5">
                  <c:v>54215</c:v>
                </c:pt>
                <c:pt idx="6">
                  <c:v>172934.75</c:v>
                </c:pt>
                <c:pt idx="7">
                  <c:v>6186.75</c:v>
                </c:pt>
                <c:pt idx="8">
                  <c:v>294433.5</c:v>
                </c:pt>
                <c:pt idx="9">
                  <c:v>163138.75</c:v>
                </c:pt>
                <c:pt idx="10">
                  <c:v>7490.75</c:v>
                </c:pt>
                <c:pt idx="11">
                  <c:v>881623.75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60-4310-BC90-25C1D5B941EF}"/>
            </c:ext>
          </c:extLst>
        </c:ser>
        <c:ser>
          <c:idx val="2"/>
          <c:order val="2"/>
          <c:spPr>
            <a:solidFill>
              <a:schemeClr val="accent5">
                <a:lumMod val="20000"/>
                <a:lumOff val="80000"/>
              </a:schemeClr>
            </a:solidFill>
            <a:ln w="12700">
              <a:solidFill>
                <a:schemeClr val="accent5">
                  <a:lumMod val="75000"/>
                </a:schemeClr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 w="12700">
                <a:solidFill>
                  <a:schemeClr val="accent2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7F60-4310-BC90-25C1D5B941E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2700">
                <a:solidFill>
                  <a:schemeClr val="accent6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7F60-4310-BC90-25C1D5B941EF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 w="12700">
                <a:solidFill>
                  <a:schemeClr val="accent2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7F60-4310-BC90-25C1D5B941EF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2700">
                <a:solidFill>
                  <a:schemeClr val="accent6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A-7F60-4310-BC90-25C1D5B941EF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 w="12700">
                <a:solidFill>
                  <a:schemeClr val="accent2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7F60-4310-BC90-25C1D5B941EF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2700">
                <a:solidFill>
                  <a:schemeClr val="accent6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7F60-4310-BC90-25C1D5B941EF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 w="12700">
                <a:solidFill>
                  <a:schemeClr val="accent2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7F60-4310-BC90-25C1D5B941EF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2700">
                <a:solidFill>
                  <a:schemeClr val="accent6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C-7F60-4310-BC90-25C1D5B941EF}"/>
              </c:ext>
            </c:extLst>
          </c:dPt>
          <c:cat>
            <c:strRef>
              <c:f>(iozone_results!$J$45:$U$45,iozone_results!$J$45:$U$45,iozone_results!$J$45:$U$45)</c:f>
              <c:strCache>
                <c:ptCount val="35"/>
                <c:pt idx="1">
                  <c:v>64</c:v>
                </c:pt>
                <c:pt idx="4">
                  <c:v>512</c:v>
                </c:pt>
                <c:pt idx="7">
                  <c:v>4K</c:v>
                </c:pt>
                <c:pt idx="10">
                  <c:v>32K</c:v>
                </c:pt>
                <c:pt idx="13">
                  <c:v>64</c:v>
                </c:pt>
                <c:pt idx="16">
                  <c:v>512</c:v>
                </c:pt>
                <c:pt idx="19">
                  <c:v>4K</c:v>
                </c:pt>
                <c:pt idx="22">
                  <c:v>32K</c:v>
                </c:pt>
                <c:pt idx="25">
                  <c:v>64</c:v>
                </c:pt>
                <c:pt idx="28">
                  <c:v>512</c:v>
                </c:pt>
                <c:pt idx="31">
                  <c:v>4K</c:v>
                </c:pt>
                <c:pt idx="34">
                  <c:v>32K</c:v>
                </c:pt>
              </c:strCache>
            </c:strRef>
          </c:cat>
          <c:val>
            <c:numRef>
              <c:f>iozone_results!$J$49:$U$49</c:f>
              <c:numCache>
                <c:formatCode>#,##0.00</c:formatCode>
                <c:ptCount val="12"/>
                <c:pt idx="0">
                  <c:v>115070.25</c:v>
                </c:pt>
                <c:pt idx="1">
                  <c:v>12952.5</c:v>
                </c:pt>
                <c:pt idx="2">
                  <c:v>61668.75</c:v>
                </c:pt>
                <c:pt idx="3">
                  <c:v>206142</c:v>
                </c:pt>
                <c:pt idx="4">
                  <c:v>35409.5</c:v>
                </c:pt>
                <c:pt idx="5">
                  <c:v>281422.5</c:v>
                </c:pt>
                <c:pt idx="6">
                  <c:v>7857.75</c:v>
                </c:pt>
                <c:pt idx="7">
                  <c:v>27663.25</c:v>
                </c:pt>
                <c:pt idx="8">
                  <c:v>195992</c:v>
                </c:pt>
                <c:pt idx="9">
                  <c:v>42485.25</c:v>
                </c:pt>
                <c:pt idx="10">
                  <c:v>4634.25</c:v>
                </c:pt>
                <c:pt idx="11">
                  <c:v>166612.25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F60-4310-BC90-25C1D5B941EF}"/>
            </c:ext>
          </c:extLst>
        </c:ser>
        <c:ser>
          <c:idx val="3"/>
          <c:order val="3"/>
          <c:spPr>
            <a:solidFill>
              <a:schemeClr val="accent5">
                <a:lumMod val="20000"/>
                <a:lumOff val="80000"/>
              </a:schemeClr>
            </a:solidFill>
            <a:ln w="12700">
              <a:solidFill>
                <a:schemeClr val="accent5">
                  <a:lumMod val="75000"/>
                </a:schemeClr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 w="12700">
                <a:solidFill>
                  <a:schemeClr val="accent2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7F60-4310-BC90-25C1D5B941E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2700">
                <a:solidFill>
                  <a:schemeClr val="accent6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7F60-4310-BC90-25C1D5B941EF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 w="12700">
                <a:solidFill>
                  <a:schemeClr val="accent2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7F60-4310-BC90-25C1D5B941EF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2700">
                <a:solidFill>
                  <a:schemeClr val="accent6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7F60-4310-BC90-25C1D5B941EF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 w="12700">
                <a:solidFill>
                  <a:schemeClr val="accent2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7F60-4310-BC90-25C1D5B941EF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2700">
                <a:solidFill>
                  <a:schemeClr val="accent6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7F60-4310-BC90-25C1D5B941EF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 w="12700">
                <a:solidFill>
                  <a:schemeClr val="accent2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7F60-4310-BC90-25C1D5B941EF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2700">
                <a:solidFill>
                  <a:schemeClr val="accent6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7F60-4310-BC90-25C1D5B941EF}"/>
              </c:ext>
            </c:extLst>
          </c:dPt>
          <c:cat>
            <c:strRef>
              <c:f>(iozone_results!$J$45:$U$45,iozone_results!$J$45:$U$45,iozone_results!$J$45:$U$45)</c:f>
              <c:strCache>
                <c:ptCount val="35"/>
                <c:pt idx="1">
                  <c:v>64</c:v>
                </c:pt>
                <c:pt idx="4">
                  <c:v>512</c:v>
                </c:pt>
                <c:pt idx="7">
                  <c:v>4K</c:v>
                </c:pt>
                <c:pt idx="10">
                  <c:v>32K</c:v>
                </c:pt>
                <c:pt idx="13">
                  <c:v>64</c:v>
                </c:pt>
                <c:pt idx="16">
                  <c:v>512</c:v>
                </c:pt>
                <c:pt idx="19">
                  <c:v>4K</c:v>
                </c:pt>
                <c:pt idx="22">
                  <c:v>32K</c:v>
                </c:pt>
                <c:pt idx="25">
                  <c:v>64</c:v>
                </c:pt>
                <c:pt idx="28">
                  <c:v>512</c:v>
                </c:pt>
                <c:pt idx="31">
                  <c:v>4K</c:v>
                </c:pt>
                <c:pt idx="34">
                  <c:v>32K</c:v>
                </c:pt>
              </c:strCache>
            </c:strRef>
          </c:cat>
          <c:val>
            <c:numRef>
              <c:f>iozone_results!$J$50:$U$50</c:f>
              <c:numCache>
                <c:formatCode>#,##0.00</c:formatCode>
                <c:ptCount val="12"/>
                <c:pt idx="0">
                  <c:v>23836.75</c:v>
                </c:pt>
                <c:pt idx="1">
                  <c:v>54201</c:v>
                </c:pt>
                <c:pt idx="2">
                  <c:v>38758.5</c:v>
                </c:pt>
                <c:pt idx="3">
                  <c:v>95490.5</c:v>
                </c:pt>
                <c:pt idx="4">
                  <c:v>125973.25</c:v>
                </c:pt>
                <c:pt idx="5">
                  <c:v>69289.25</c:v>
                </c:pt>
                <c:pt idx="6">
                  <c:v>84817.25</c:v>
                </c:pt>
                <c:pt idx="7">
                  <c:v>15780</c:v>
                </c:pt>
                <c:pt idx="8">
                  <c:v>246890.75</c:v>
                </c:pt>
                <c:pt idx="9">
                  <c:v>18315.5</c:v>
                </c:pt>
                <c:pt idx="10">
                  <c:v>61207.25</c:v>
                </c:pt>
                <c:pt idx="11">
                  <c:v>170036.5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F60-4310-BC90-25C1D5B941EF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</c:spPr>
          <c:invertIfNegative val="0"/>
          <c:errBars>
            <c:errBarType val="min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(iozone_results!$J$45:$U$45,iozone_results!$J$45:$U$45,iozone_results!$J$45:$U$45)</c:f>
              <c:strCache>
                <c:ptCount val="35"/>
                <c:pt idx="1">
                  <c:v>64</c:v>
                </c:pt>
                <c:pt idx="4">
                  <c:v>512</c:v>
                </c:pt>
                <c:pt idx="7">
                  <c:v>4K</c:v>
                </c:pt>
                <c:pt idx="10">
                  <c:v>32K</c:v>
                </c:pt>
                <c:pt idx="13">
                  <c:v>64</c:v>
                </c:pt>
                <c:pt idx="16">
                  <c:v>512</c:v>
                </c:pt>
                <c:pt idx="19">
                  <c:v>4K</c:v>
                </c:pt>
                <c:pt idx="22">
                  <c:v>32K</c:v>
                </c:pt>
                <c:pt idx="25">
                  <c:v>64</c:v>
                </c:pt>
                <c:pt idx="28">
                  <c:v>512</c:v>
                </c:pt>
                <c:pt idx="31">
                  <c:v>4K</c:v>
                </c:pt>
                <c:pt idx="34">
                  <c:v>32K</c:v>
                </c:pt>
              </c:strCache>
            </c:strRef>
          </c:cat>
          <c:val>
            <c:numRef>
              <c:f>iozone_results!$J$51:$U$51</c:f>
              <c:numCache>
                <c:formatCode>#,##0.00</c:formatCode>
                <c:ptCount val="12"/>
                <c:pt idx="0">
                  <c:v>69027.75</c:v>
                </c:pt>
                <c:pt idx="1">
                  <c:v>34186.5</c:v>
                </c:pt>
                <c:pt idx="2">
                  <c:v>64049</c:v>
                </c:pt>
                <c:pt idx="3">
                  <c:v>47271</c:v>
                </c:pt>
                <c:pt idx="4">
                  <c:v>12624.75</c:v>
                </c:pt>
                <c:pt idx="5">
                  <c:v>107531.25</c:v>
                </c:pt>
                <c:pt idx="6">
                  <c:v>146399.25</c:v>
                </c:pt>
                <c:pt idx="7">
                  <c:v>29444</c:v>
                </c:pt>
                <c:pt idx="8">
                  <c:v>138440.75</c:v>
                </c:pt>
                <c:pt idx="9">
                  <c:v>185562.5</c:v>
                </c:pt>
                <c:pt idx="10">
                  <c:v>230034.75</c:v>
                </c:pt>
                <c:pt idx="11">
                  <c:v>20519.5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F60-4310-BC90-25C1D5B94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467177136"/>
        <c:axId val="467181712"/>
      </c:barChart>
      <c:catAx>
        <c:axId val="4671771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Message Size (kB)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67181712"/>
        <c:crosses val="autoZero"/>
        <c:auto val="1"/>
        <c:lblAlgn val="ctr"/>
        <c:lblOffset val="100"/>
        <c:tickMarkSkip val="3"/>
        <c:noMultiLvlLbl val="0"/>
      </c:catAx>
      <c:valAx>
        <c:axId val="467181712"/>
        <c:scaling>
          <c:orientation val="minMax"/>
          <c:max val="1460000"/>
          <c:min val="15000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Rate of Execution (kB/s)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67177136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280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631990646372883"/>
          <c:y val="4.0350738280619948E-2"/>
          <c:w val="0.77528324728134346"/>
          <c:h val="0.84129630444239178"/>
        </c:manualLayout>
      </c:layout>
      <c:barChart>
        <c:barDir val="col"/>
        <c:grouping val="stacked"/>
        <c:varyColors val="0"/>
        <c:ser>
          <c:idx val="0"/>
          <c:order val="0"/>
          <c:spPr>
            <a:noFill/>
            <a:ln>
              <a:noFill/>
            </a:ln>
            <a:effectLst/>
          </c:spPr>
          <c:invertIfNegative val="0"/>
          <c:cat>
            <c:strRef>
              <c:f>(iozone_results!$J$45:$U$45,iozone_results!$J$45:$U$45,iozone_results!$J$45:$U$45)</c:f>
              <c:strCache>
                <c:ptCount val="35"/>
                <c:pt idx="1">
                  <c:v>64</c:v>
                </c:pt>
                <c:pt idx="4">
                  <c:v>512</c:v>
                </c:pt>
                <c:pt idx="7">
                  <c:v>4K</c:v>
                </c:pt>
                <c:pt idx="10">
                  <c:v>32K</c:v>
                </c:pt>
                <c:pt idx="13">
                  <c:v>64</c:v>
                </c:pt>
                <c:pt idx="16">
                  <c:v>512</c:v>
                </c:pt>
                <c:pt idx="19">
                  <c:v>4K</c:v>
                </c:pt>
                <c:pt idx="22">
                  <c:v>32K</c:v>
                </c:pt>
                <c:pt idx="25">
                  <c:v>64</c:v>
                </c:pt>
                <c:pt idx="28">
                  <c:v>512</c:v>
                </c:pt>
                <c:pt idx="31">
                  <c:v>4K</c:v>
                </c:pt>
                <c:pt idx="34">
                  <c:v>32K</c:v>
                </c:pt>
              </c:strCache>
            </c:strRef>
          </c:cat>
          <c:val>
            <c:numRef>
              <c:f>iozone_results!$J$56:$U$56</c:f>
              <c:numCache>
                <c:formatCode>#,##0.00</c:formatCode>
                <c:ptCount val="12"/>
                <c:pt idx="0">
                  <c:v>2772930</c:v>
                </c:pt>
                <c:pt idx="1">
                  <c:v>2278628</c:v>
                </c:pt>
                <c:pt idx="2">
                  <c:v>1452528</c:v>
                </c:pt>
                <c:pt idx="3">
                  <c:v>2449212</c:v>
                </c:pt>
                <c:pt idx="4">
                  <c:v>1795846</c:v>
                </c:pt>
                <c:pt idx="5">
                  <c:v>2600470</c:v>
                </c:pt>
                <c:pt idx="6">
                  <c:v>2748864</c:v>
                </c:pt>
                <c:pt idx="7">
                  <c:v>2266830</c:v>
                </c:pt>
                <c:pt idx="8">
                  <c:v>2076165</c:v>
                </c:pt>
                <c:pt idx="9">
                  <c:v>2268613</c:v>
                </c:pt>
                <c:pt idx="10">
                  <c:v>2078792</c:v>
                </c:pt>
                <c:pt idx="11">
                  <c:v>2056244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D0-493E-B01C-1260CC94E386}"/>
            </c:ext>
          </c:extLst>
        </c:ser>
        <c:ser>
          <c:idx val="1"/>
          <c:order val="1"/>
          <c:spPr>
            <a:noFill/>
            <a:ln>
              <a:noFill/>
            </a:ln>
            <a:effectLst/>
          </c:spPr>
          <c:invertIfNegative val="0"/>
          <c:errBars>
            <c:errBarType val="min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(iozone_results!$J$45:$U$45,iozone_results!$J$45:$U$45,iozone_results!$J$45:$U$45)</c:f>
              <c:strCache>
                <c:ptCount val="35"/>
                <c:pt idx="1">
                  <c:v>64</c:v>
                </c:pt>
                <c:pt idx="4">
                  <c:v>512</c:v>
                </c:pt>
                <c:pt idx="7">
                  <c:v>4K</c:v>
                </c:pt>
                <c:pt idx="10">
                  <c:v>32K</c:v>
                </c:pt>
                <c:pt idx="13">
                  <c:v>64</c:v>
                </c:pt>
                <c:pt idx="16">
                  <c:v>512</c:v>
                </c:pt>
                <c:pt idx="19">
                  <c:v>4K</c:v>
                </c:pt>
                <c:pt idx="22">
                  <c:v>32K</c:v>
                </c:pt>
                <c:pt idx="25">
                  <c:v>64</c:v>
                </c:pt>
                <c:pt idx="28">
                  <c:v>512</c:v>
                </c:pt>
                <c:pt idx="31">
                  <c:v>4K</c:v>
                </c:pt>
                <c:pt idx="34">
                  <c:v>32K</c:v>
                </c:pt>
              </c:strCache>
            </c:strRef>
          </c:cat>
          <c:val>
            <c:numRef>
              <c:f>iozone_results!$J$57:$U$57</c:f>
              <c:numCache>
                <c:formatCode>#,##0.00</c:formatCode>
                <c:ptCount val="12"/>
                <c:pt idx="0">
                  <c:v>0</c:v>
                </c:pt>
                <c:pt idx="1">
                  <c:v>212019.75</c:v>
                </c:pt>
                <c:pt idx="2">
                  <c:v>2193018.5</c:v>
                </c:pt>
                <c:pt idx="3">
                  <c:v>534278</c:v>
                </c:pt>
                <c:pt idx="4">
                  <c:v>533810.75</c:v>
                </c:pt>
                <c:pt idx="5">
                  <c:v>718470.25</c:v>
                </c:pt>
                <c:pt idx="6">
                  <c:v>83325</c:v>
                </c:pt>
                <c:pt idx="7">
                  <c:v>89219</c:v>
                </c:pt>
                <c:pt idx="8">
                  <c:v>706537.25</c:v>
                </c:pt>
                <c:pt idx="9">
                  <c:v>147524</c:v>
                </c:pt>
                <c:pt idx="10">
                  <c:v>84176.75</c:v>
                </c:pt>
                <c:pt idx="11">
                  <c:v>552224.75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D0-493E-B01C-1260CC94E386}"/>
            </c:ext>
          </c:extLst>
        </c:ser>
        <c:ser>
          <c:idx val="2"/>
          <c:order val="2"/>
          <c:spPr>
            <a:solidFill>
              <a:schemeClr val="accent5">
                <a:lumMod val="20000"/>
                <a:lumOff val="80000"/>
              </a:schemeClr>
            </a:solidFill>
            <a:ln w="12700">
              <a:solidFill>
                <a:schemeClr val="accent5">
                  <a:lumMod val="75000"/>
                </a:schemeClr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 w="12700">
                <a:solidFill>
                  <a:schemeClr val="accent2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CD0-493E-B01C-1260CC94E38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2700">
                <a:solidFill>
                  <a:schemeClr val="accent6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CD0-493E-B01C-1260CC94E386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 w="12700">
                <a:solidFill>
                  <a:schemeClr val="accent2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CD0-493E-B01C-1260CC94E386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2700">
                <a:solidFill>
                  <a:schemeClr val="accent6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CD0-493E-B01C-1260CC94E386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 w="12700">
                <a:solidFill>
                  <a:schemeClr val="accent2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CD0-493E-B01C-1260CC94E386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2700">
                <a:solidFill>
                  <a:schemeClr val="accent6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1CD0-493E-B01C-1260CC94E386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 w="12700">
                <a:solidFill>
                  <a:schemeClr val="accent2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1CD0-493E-B01C-1260CC94E386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2700">
                <a:solidFill>
                  <a:schemeClr val="accent6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1CD0-493E-B01C-1260CC94E386}"/>
              </c:ext>
            </c:extLst>
          </c:dPt>
          <c:cat>
            <c:strRef>
              <c:f>(iozone_results!$J$45:$U$45,iozone_results!$J$45:$U$45,iozone_results!$J$45:$U$45)</c:f>
              <c:strCache>
                <c:ptCount val="35"/>
                <c:pt idx="1">
                  <c:v>64</c:v>
                </c:pt>
                <c:pt idx="4">
                  <c:v>512</c:v>
                </c:pt>
                <c:pt idx="7">
                  <c:v>4K</c:v>
                </c:pt>
                <c:pt idx="10">
                  <c:v>32K</c:v>
                </c:pt>
                <c:pt idx="13">
                  <c:v>64</c:v>
                </c:pt>
                <c:pt idx="16">
                  <c:v>512</c:v>
                </c:pt>
                <c:pt idx="19">
                  <c:v>4K</c:v>
                </c:pt>
                <c:pt idx="22">
                  <c:v>32K</c:v>
                </c:pt>
                <c:pt idx="25">
                  <c:v>64</c:v>
                </c:pt>
                <c:pt idx="28">
                  <c:v>512</c:v>
                </c:pt>
                <c:pt idx="31">
                  <c:v>4K</c:v>
                </c:pt>
                <c:pt idx="34">
                  <c:v>32K</c:v>
                </c:pt>
              </c:strCache>
            </c:strRef>
          </c:cat>
          <c:val>
            <c:numRef>
              <c:f>iozone_results!$J$58:$U$58</c:f>
              <c:numCache>
                <c:formatCode>#,##0.00</c:formatCode>
                <c:ptCount val="12"/>
                <c:pt idx="0">
                  <c:v>74229</c:v>
                </c:pt>
                <c:pt idx="1">
                  <c:v>70619.25</c:v>
                </c:pt>
                <c:pt idx="2">
                  <c:v>372605.5</c:v>
                </c:pt>
                <c:pt idx="3">
                  <c:v>54828</c:v>
                </c:pt>
                <c:pt idx="4">
                  <c:v>87116.75</c:v>
                </c:pt>
                <c:pt idx="5">
                  <c:v>291454.75</c:v>
                </c:pt>
                <c:pt idx="6">
                  <c:v>123238.5</c:v>
                </c:pt>
                <c:pt idx="7">
                  <c:v>170212</c:v>
                </c:pt>
                <c:pt idx="8">
                  <c:v>87776.75</c:v>
                </c:pt>
                <c:pt idx="9">
                  <c:v>114796</c:v>
                </c:pt>
                <c:pt idx="10">
                  <c:v>72368.75</c:v>
                </c:pt>
                <c:pt idx="11">
                  <c:v>235605.25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CD0-493E-B01C-1260CC94E386}"/>
            </c:ext>
          </c:extLst>
        </c:ser>
        <c:ser>
          <c:idx val="3"/>
          <c:order val="3"/>
          <c:spPr>
            <a:solidFill>
              <a:schemeClr val="accent5">
                <a:lumMod val="20000"/>
                <a:lumOff val="80000"/>
              </a:schemeClr>
            </a:solidFill>
            <a:ln w="12700">
              <a:solidFill>
                <a:schemeClr val="accent5">
                  <a:lumMod val="75000"/>
                </a:schemeClr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 w="12700">
                <a:solidFill>
                  <a:schemeClr val="accent2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1CD0-493E-B01C-1260CC94E38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2700">
                <a:solidFill>
                  <a:schemeClr val="accent6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1CD0-493E-B01C-1260CC94E386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 w="12700">
                <a:solidFill>
                  <a:schemeClr val="accent2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1CD0-493E-B01C-1260CC94E386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2700">
                <a:solidFill>
                  <a:schemeClr val="accent6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A-1CD0-493E-B01C-1260CC94E386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 w="12700">
                <a:solidFill>
                  <a:schemeClr val="accent2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C-1CD0-493E-B01C-1260CC94E386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2700">
                <a:solidFill>
                  <a:schemeClr val="accent6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1CD0-493E-B01C-1260CC94E386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 w="12700">
                <a:solidFill>
                  <a:schemeClr val="accent2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1CD0-493E-B01C-1260CC94E386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2700">
                <a:solidFill>
                  <a:schemeClr val="accent6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1CD0-493E-B01C-1260CC94E386}"/>
              </c:ext>
            </c:extLst>
          </c:dPt>
          <c:cat>
            <c:strRef>
              <c:f>(iozone_results!$J$45:$U$45,iozone_results!$J$45:$U$45,iozone_results!$J$45:$U$45)</c:f>
              <c:strCache>
                <c:ptCount val="35"/>
                <c:pt idx="1">
                  <c:v>64</c:v>
                </c:pt>
                <c:pt idx="4">
                  <c:v>512</c:v>
                </c:pt>
                <c:pt idx="7">
                  <c:v>4K</c:v>
                </c:pt>
                <c:pt idx="10">
                  <c:v>32K</c:v>
                </c:pt>
                <c:pt idx="13">
                  <c:v>64</c:v>
                </c:pt>
                <c:pt idx="16">
                  <c:v>512</c:v>
                </c:pt>
                <c:pt idx="19">
                  <c:v>4K</c:v>
                </c:pt>
                <c:pt idx="22">
                  <c:v>32K</c:v>
                </c:pt>
                <c:pt idx="25">
                  <c:v>64</c:v>
                </c:pt>
                <c:pt idx="28">
                  <c:v>512</c:v>
                </c:pt>
                <c:pt idx="31">
                  <c:v>4K</c:v>
                </c:pt>
                <c:pt idx="34">
                  <c:v>32K</c:v>
                </c:pt>
              </c:strCache>
            </c:strRef>
          </c:cat>
          <c:val>
            <c:numRef>
              <c:f>iozone_results!$J$59:$U$59</c:f>
              <c:numCache>
                <c:formatCode>#,##0.00</c:formatCode>
                <c:ptCount val="12"/>
                <c:pt idx="0">
                  <c:v>176693.75</c:v>
                </c:pt>
                <c:pt idx="1">
                  <c:v>101632</c:v>
                </c:pt>
                <c:pt idx="2">
                  <c:v>255910</c:v>
                </c:pt>
                <c:pt idx="3">
                  <c:v>236277</c:v>
                </c:pt>
                <c:pt idx="4">
                  <c:v>247432.75</c:v>
                </c:pt>
                <c:pt idx="5">
                  <c:v>520157</c:v>
                </c:pt>
                <c:pt idx="6">
                  <c:v>71965.5</c:v>
                </c:pt>
                <c:pt idx="7">
                  <c:v>95712.5</c:v>
                </c:pt>
                <c:pt idx="8">
                  <c:v>250658.5</c:v>
                </c:pt>
                <c:pt idx="9">
                  <c:v>38716.75</c:v>
                </c:pt>
                <c:pt idx="10">
                  <c:v>49040.25</c:v>
                </c:pt>
                <c:pt idx="11">
                  <c:v>201870.5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1CD0-493E-B01C-1260CC94E386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</c:spPr>
          <c:invertIfNegative val="0"/>
          <c:errBars>
            <c:errBarType val="min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(iozone_results!$J$45:$U$45,iozone_results!$J$45:$U$45,iozone_results!$J$45:$U$45)</c:f>
              <c:strCache>
                <c:ptCount val="35"/>
                <c:pt idx="1">
                  <c:v>64</c:v>
                </c:pt>
                <c:pt idx="4">
                  <c:v>512</c:v>
                </c:pt>
                <c:pt idx="7">
                  <c:v>4K</c:v>
                </c:pt>
                <c:pt idx="10">
                  <c:v>32K</c:v>
                </c:pt>
                <c:pt idx="13">
                  <c:v>64</c:v>
                </c:pt>
                <c:pt idx="16">
                  <c:v>512</c:v>
                </c:pt>
                <c:pt idx="19">
                  <c:v>4K</c:v>
                </c:pt>
                <c:pt idx="22">
                  <c:v>32K</c:v>
                </c:pt>
                <c:pt idx="25">
                  <c:v>64</c:v>
                </c:pt>
                <c:pt idx="28">
                  <c:v>512</c:v>
                </c:pt>
                <c:pt idx="31">
                  <c:v>4K</c:v>
                </c:pt>
                <c:pt idx="34">
                  <c:v>32K</c:v>
                </c:pt>
              </c:strCache>
            </c:strRef>
          </c:cat>
          <c:val>
            <c:numRef>
              <c:f>iozone_results!$J$60:$U$60</c:f>
              <c:numCache>
                <c:formatCode>#,##0.00</c:formatCode>
                <c:ptCount val="12"/>
                <c:pt idx="0">
                  <c:v>339759.25</c:v>
                </c:pt>
                <c:pt idx="1">
                  <c:v>26681</c:v>
                </c:pt>
                <c:pt idx="2">
                  <c:v>290724</c:v>
                </c:pt>
                <c:pt idx="3">
                  <c:v>113641</c:v>
                </c:pt>
                <c:pt idx="4">
                  <c:v>315075.75</c:v>
                </c:pt>
                <c:pt idx="5">
                  <c:v>280825</c:v>
                </c:pt>
                <c:pt idx="6">
                  <c:v>24740</c:v>
                </c:pt>
                <c:pt idx="7">
                  <c:v>218704.5</c:v>
                </c:pt>
                <c:pt idx="8">
                  <c:v>579182.5</c:v>
                </c:pt>
                <c:pt idx="9">
                  <c:v>18030.25</c:v>
                </c:pt>
                <c:pt idx="10">
                  <c:v>24518.25</c:v>
                </c:pt>
                <c:pt idx="11">
                  <c:v>109378.5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1CD0-493E-B01C-1260CC94E3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467177136"/>
        <c:axId val="467181712"/>
      </c:barChart>
      <c:catAx>
        <c:axId val="4671771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Message Size (kB)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67181712"/>
        <c:crosses val="autoZero"/>
        <c:auto val="1"/>
        <c:lblAlgn val="ctr"/>
        <c:lblOffset val="100"/>
        <c:tickMarkSkip val="3"/>
        <c:noMultiLvlLbl val="0"/>
      </c:catAx>
      <c:valAx>
        <c:axId val="467181712"/>
        <c:scaling>
          <c:orientation val="minMax"/>
          <c:max val="4600000"/>
          <c:min val="140000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Rate of Execution (kB/s)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67177136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280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445332223420079"/>
          <c:y val="4.291105315718078E-2"/>
          <c:w val="0.80734910410895344"/>
          <c:h val="0.85935307045464882"/>
        </c:manualLayout>
      </c:layout>
      <c:barChart>
        <c:barDir val="col"/>
        <c:grouping val="stacked"/>
        <c:varyColors val="0"/>
        <c:ser>
          <c:idx val="0"/>
          <c:order val="0"/>
          <c:spPr>
            <a:noFill/>
            <a:ln>
              <a:noFill/>
            </a:ln>
            <a:effectLst/>
          </c:spPr>
          <c:invertIfNegative val="0"/>
          <c:cat>
            <c:strRef>
              <c:f>(linpack_results!$B$1,linpack_results!$C$1,linpack_results!$D$1)</c:f>
              <c:strCache>
                <c:ptCount val="3"/>
                <c:pt idx="0">
                  <c:v>Native</c:v>
                </c:pt>
                <c:pt idx="1">
                  <c:v>Docker Container</c:v>
                </c:pt>
                <c:pt idx="2">
                  <c:v>Virtual Machine</c:v>
                </c:pt>
              </c:strCache>
            </c:strRef>
          </c:cat>
          <c:val>
            <c:numRef>
              <c:f>linpack_results!$C$23:$E$23</c:f>
              <c:numCache>
                <c:formatCode>#,##0.000</c:formatCode>
                <c:ptCount val="3"/>
                <c:pt idx="0">
                  <c:v>2026.262626</c:v>
                </c:pt>
                <c:pt idx="1">
                  <c:v>2026.262626</c:v>
                </c:pt>
                <c:pt idx="2">
                  <c:v>1807.2072069999999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68-49EF-8CAC-4D1408CCBC60}"/>
            </c:ext>
          </c:extLst>
        </c:ser>
        <c:ser>
          <c:idx val="1"/>
          <c:order val="1"/>
          <c:spPr>
            <a:noFill/>
            <a:ln>
              <a:noFill/>
            </a:ln>
            <a:effectLst/>
          </c:spPr>
          <c:invertIfNegative val="0"/>
          <c:errBars>
            <c:errBarType val="min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(linpack_results!$B$1,linpack_results!$C$1,linpack_results!$D$1)</c:f>
              <c:strCache>
                <c:ptCount val="3"/>
                <c:pt idx="0">
                  <c:v>Native</c:v>
                </c:pt>
                <c:pt idx="1">
                  <c:v>Docker Container</c:v>
                </c:pt>
                <c:pt idx="2">
                  <c:v>Virtual Machine</c:v>
                </c:pt>
              </c:strCache>
            </c:strRef>
          </c:cat>
          <c:val>
            <c:numRef>
              <c:f>linpack_results!$C$24:$E$24</c:f>
              <c:numCache>
                <c:formatCode>#,##0.00000</c:formatCode>
                <c:ptCount val="3"/>
                <c:pt idx="0">
                  <c:v>63.320707000000084</c:v>
                </c:pt>
                <c:pt idx="1">
                  <c:v>15.830176749999964</c:v>
                </c:pt>
                <c:pt idx="2">
                  <c:v>159.45946075000006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68-49EF-8CAC-4D1408CCBC60}"/>
            </c:ext>
          </c:extLst>
        </c:ser>
        <c:ser>
          <c:idx val="2"/>
          <c:order val="2"/>
          <c:spPr>
            <a:solidFill>
              <a:schemeClr val="accent5">
                <a:lumMod val="20000"/>
                <a:lumOff val="80000"/>
              </a:schemeClr>
            </a:solidFill>
            <a:ln w="12700">
              <a:solidFill>
                <a:schemeClr val="accent5">
                  <a:lumMod val="75000"/>
                </a:schemeClr>
              </a:solidFill>
            </a:ln>
            <a:effectLst/>
          </c:spPr>
          <c:invertIfNegative val="0"/>
          <c:cat>
            <c:strRef>
              <c:f>(linpack_results!$B$1,linpack_results!$C$1,linpack_results!$D$1)</c:f>
              <c:strCache>
                <c:ptCount val="3"/>
                <c:pt idx="0">
                  <c:v>Native</c:v>
                </c:pt>
                <c:pt idx="1">
                  <c:v>Docker Container</c:v>
                </c:pt>
                <c:pt idx="2">
                  <c:v>Virtual Machine</c:v>
                </c:pt>
              </c:strCache>
            </c:strRef>
          </c:cat>
          <c:val>
            <c:numRef>
              <c:f>linpack_results!$C$25:$E$25</c:f>
              <c:numCache>
                <c:formatCode>#,##0.00000</c:formatCode>
                <c:ptCount val="3"/>
                <c:pt idx="0">
                  <c:v>67.405913999999939</c:v>
                </c:pt>
                <c:pt idx="1">
                  <c:v>81.193487250000089</c:v>
                </c:pt>
                <c:pt idx="2">
                  <c:v>29.798145250000061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68-49EF-8CAC-4D1408CCBC60}"/>
            </c:ext>
          </c:extLst>
        </c:ser>
        <c:ser>
          <c:idx val="3"/>
          <c:order val="3"/>
          <c:spPr>
            <a:solidFill>
              <a:schemeClr val="accent5">
                <a:lumMod val="20000"/>
                <a:lumOff val="80000"/>
              </a:schemeClr>
            </a:solidFill>
            <a:ln w="12700">
              <a:solidFill>
                <a:schemeClr val="accent5">
                  <a:lumMod val="75000"/>
                </a:schemeClr>
              </a:solidFill>
            </a:ln>
            <a:effectLst/>
          </c:spPr>
          <c:invertIfNegative val="0"/>
          <c:cat>
            <c:strRef>
              <c:f>(linpack_results!$B$1,linpack_results!$C$1,linpack_results!$D$1)</c:f>
              <c:strCache>
                <c:ptCount val="3"/>
                <c:pt idx="0">
                  <c:v>Native</c:v>
                </c:pt>
                <c:pt idx="1">
                  <c:v>Docker Container</c:v>
                </c:pt>
                <c:pt idx="2">
                  <c:v>Virtual Machine</c:v>
                </c:pt>
              </c:strCache>
            </c:strRef>
          </c:cat>
          <c:val>
            <c:numRef>
              <c:f>linpack_results!$C$26:$E$26</c:f>
              <c:numCache>
                <c:formatCode>#,##0.00000</c:formatCode>
                <c:ptCount val="3"/>
                <c:pt idx="0">
                  <c:v>0</c:v>
                </c:pt>
                <c:pt idx="1">
                  <c:v>33.702956999999969</c:v>
                </c:pt>
                <c:pt idx="2">
                  <c:v>29.797812999999906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A68-49EF-8CAC-4D1408CCBC60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</c:spPr>
          <c:invertIfNegative val="0"/>
          <c:errBars>
            <c:errBarType val="min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(linpack_results!$B$1,linpack_results!$C$1,linpack_results!$D$1)</c:f>
              <c:strCache>
                <c:ptCount val="3"/>
                <c:pt idx="0">
                  <c:v>Native</c:v>
                </c:pt>
                <c:pt idx="1">
                  <c:v>Docker Container</c:v>
                </c:pt>
                <c:pt idx="2">
                  <c:v>Virtual Machine</c:v>
                </c:pt>
              </c:strCache>
            </c:strRef>
          </c:cat>
          <c:val>
            <c:numRef>
              <c:f>linpack_results!$C$27:$E$27</c:f>
              <c:numCache>
                <c:formatCode>#,##0.00000</c:formatCode>
                <c:ptCount val="3"/>
                <c:pt idx="0">
                  <c:v>0</c:v>
                </c:pt>
                <c:pt idx="1">
                  <c:v>71.899641999999858</c:v>
                </c:pt>
                <c:pt idx="2">
                  <c:v>63.320673999999826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A68-49EF-8CAC-4D1408CCBC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562096384"/>
        <c:axId val="562840160"/>
      </c:barChart>
      <c:catAx>
        <c:axId val="562096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562840160"/>
        <c:crosses val="autoZero"/>
        <c:auto val="1"/>
        <c:lblAlgn val="ctr"/>
        <c:lblOffset val="100"/>
        <c:noMultiLvlLbl val="0"/>
      </c:catAx>
      <c:valAx>
        <c:axId val="562840160"/>
        <c:scaling>
          <c:orientation val="minMax"/>
          <c:max val="2250"/>
          <c:min val="18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Rate of Execution (MFLOPS)</a:t>
                </a:r>
              </a:p>
            </c:rich>
          </c:tx>
          <c:layout>
            <c:manualLayout>
              <c:xMode val="edge"/>
              <c:yMode val="edge"/>
              <c:x val="1.1130031036994902E-2"/>
              <c:y val="0.315216732010161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#,##0.000" sourceLinked="1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56209638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280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167865658311963"/>
          <c:y val="4.0046781926192328E-2"/>
          <c:w val="0.83444690706585711"/>
          <c:h val="0.83013579473269417"/>
        </c:manualLayout>
      </c:layout>
      <c:barChart>
        <c:barDir val="col"/>
        <c:grouping val="clustered"/>
        <c:varyColors val="0"/>
        <c:ser>
          <c:idx val="0"/>
          <c:order val="0"/>
          <c:tx>
            <c:v>Docker Container</c:v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netperf_results!$B$4:$B$13</c15:sqref>
                  </c15:fullRef>
                </c:ext>
              </c:extLst>
              <c:f>(netperf_results!$B$4,netperf_results!$B$7,netperf_results!$B$10,netperf_results!$B$13)</c:f>
              <c:strCache>
                <c:ptCount val="4"/>
                <c:pt idx="0">
                  <c:v>64</c:v>
                </c:pt>
                <c:pt idx="1">
                  <c:v>512</c:v>
                </c:pt>
                <c:pt idx="2">
                  <c:v>4K</c:v>
                </c:pt>
                <c:pt idx="3">
                  <c:v>32K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netperf_results!$D$4:$D$13</c15:sqref>
                  </c15:fullRef>
                </c:ext>
              </c:extLst>
              <c:f>(netperf_results!$D$4,netperf_results!$D$7,netperf_results!$D$10,netperf_results!$D$13)</c:f>
              <c:numCache>
                <c:formatCode>#,##0.00</c:formatCode>
                <c:ptCount val="4"/>
                <c:pt idx="0">
                  <c:v>8829.2199999999993</c:v>
                </c:pt>
                <c:pt idx="1">
                  <c:v>8668.73</c:v>
                </c:pt>
                <c:pt idx="2">
                  <c:v>8476.6</c:v>
                </c:pt>
                <c:pt idx="3">
                  <c:v>8751.48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7-46FC-8A24-CEFC25A1ED36}"/>
            </c:ext>
          </c:extLst>
        </c:ser>
        <c:ser>
          <c:idx val="1"/>
          <c:order val="1"/>
          <c:tx>
            <c:v>Native</c:v>
          </c:tx>
          <c:spPr>
            <a:solidFill>
              <a:schemeClr val="accent2">
                <a:lumMod val="20000"/>
                <a:lumOff val="80000"/>
              </a:schemeClr>
            </a:solidFill>
            <a:ln>
              <a:solidFill>
                <a:schemeClr val="accent2">
                  <a:lumMod val="75000"/>
                </a:schemeClr>
              </a:solidFill>
            </a:ln>
            <a:effectLst/>
          </c:spPr>
          <c:invertIfNegative val="0"/>
          <c:cat>
            <c:strLit>
              <c:ptCount val="4"/>
              <c:pt idx="0">
                <c:v>64</c:v>
              </c:pt>
              <c:pt idx="1">
                <c:v>512</c:v>
              </c:pt>
              <c:pt idx="2">
                <c:v>4K</c:v>
              </c:pt>
              <c:pt idx="3">
                <c:v>32K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netperf_results!$C$4:$C$13</c15:sqref>
                  </c15:fullRef>
                </c:ext>
              </c:extLst>
              <c:f>(netperf_results!$C$4,netperf_results!$C$7,netperf_results!$C$10,netperf_results!$C$13)</c:f>
              <c:numCache>
                <c:formatCode>#,##0.00</c:formatCode>
                <c:ptCount val="4"/>
                <c:pt idx="0">
                  <c:v>11160.97</c:v>
                </c:pt>
                <c:pt idx="1">
                  <c:v>10987.87</c:v>
                </c:pt>
                <c:pt idx="2">
                  <c:v>10984.9</c:v>
                </c:pt>
                <c:pt idx="3">
                  <c:v>10985.87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7-46FC-8A24-CEFC25A1ED36}"/>
            </c:ext>
          </c:extLst>
        </c:ser>
        <c:ser>
          <c:idx val="2"/>
          <c:order val="2"/>
          <c:tx>
            <c:v>Virtual Machine</c:v>
          </c:tx>
          <c:spPr>
            <a:solidFill>
              <a:schemeClr val="accent5">
                <a:lumMod val="20000"/>
                <a:lumOff val="80000"/>
              </a:schemeClr>
            </a:solidFill>
            <a:ln>
              <a:solidFill>
                <a:schemeClr val="accent5">
                  <a:lumMod val="75000"/>
                </a:schemeClr>
              </a:solidFill>
            </a:ln>
            <a:effectLst/>
          </c:spPr>
          <c:invertIfNegative val="0"/>
          <c:cat>
            <c:strLit>
              <c:ptCount val="4"/>
              <c:pt idx="0">
                <c:v>64</c:v>
              </c:pt>
              <c:pt idx="1">
                <c:v>512</c:v>
              </c:pt>
              <c:pt idx="2">
                <c:v>4K</c:v>
              </c:pt>
              <c:pt idx="3">
                <c:v>32K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netperf_results!$E$4:$E$13</c15:sqref>
                  </c15:fullRef>
                </c:ext>
              </c:extLst>
              <c:f>(netperf_results!$E$4,netperf_results!$E$7,netperf_results!$E$10,netperf_results!$E$13)</c:f>
              <c:numCache>
                <c:formatCode>#,##0.00</c:formatCode>
                <c:ptCount val="4"/>
                <c:pt idx="0">
                  <c:v>6960.2</c:v>
                </c:pt>
                <c:pt idx="1">
                  <c:v>6896.02</c:v>
                </c:pt>
                <c:pt idx="2">
                  <c:v>7761.89</c:v>
                </c:pt>
                <c:pt idx="3">
                  <c:v>6971.2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7-46FC-8A24-CEFC25A1ED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877080000"/>
        <c:axId val="877072512"/>
      </c:barChart>
      <c:catAx>
        <c:axId val="8770800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Message Size (bytes)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877072512"/>
        <c:crosses val="autoZero"/>
        <c:auto val="1"/>
        <c:lblAlgn val="ctr"/>
        <c:lblOffset val="100"/>
        <c:noMultiLvlLbl val="0"/>
      </c:catAx>
      <c:valAx>
        <c:axId val="877072512"/>
        <c:scaling>
          <c:orientation val="minMax"/>
          <c:min val="600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Throughput (Mbps)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877080000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78326382459216526"/>
          <c:y val="3.8312137165091964E-2"/>
          <c:w val="0.20212745909362786"/>
          <c:h val="0.137819097913965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280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971028700901775"/>
          <c:y val="4.8651755084162661E-2"/>
          <c:w val="0.81544261676391894"/>
          <c:h val="0.8279260391827421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ysClr val="window" lastClr="FFFFFF"/>
            </a:solidFill>
            <a:ln>
              <a:noFill/>
            </a:ln>
            <a:effectLst/>
          </c:spPr>
          <c:invertIfNegative val="0"/>
          <c:cat>
            <c:strRef>
              <c:f>stream_results!$C$15:$N$15</c:f>
              <c:strCache>
                <c:ptCount val="12"/>
                <c:pt idx="0">
                  <c:v>Copy</c:v>
                </c:pt>
                <c:pt idx="1">
                  <c:v>Scale</c:v>
                </c:pt>
                <c:pt idx="2">
                  <c:v>Add </c:v>
                </c:pt>
                <c:pt idx="3">
                  <c:v>Triad </c:v>
                </c:pt>
                <c:pt idx="4">
                  <c:v>Copy </c:v>
                </c:pt>
                <c:pt idx="5">
                  <c:v>Scale</c:v>
                </c:pt>
                <c:pt idx="6">
                  <c:v>Add</c:v>
                </c:pt>
                <c:pt idx="7">
                  <c:v>Triad</c:v>
                </c:pt>
                <c:pt idx="8">
                  <c:v>Copy</c:v>
                </c:pt>
                <c:pt idx="9">
                  <c:v>Scale</c:v>
                </c:pt>
                <c:pt idx="10">
                  <c:v>Add</c:v>
                </c:pt>
                <c:pt idx="11">
                  <c:v>Triad</c:v>
                </c:pt>
              </c:strCache>
            </c:strRef>
          </c:cat>
          <c:val>
            <c:numRef>
              <c:f>stream_results!$C$23:$N$23</c:f>
              <c:numCache>
                <c:formatCode>#,##0.000</c:formatCode>
                <c:ptCount val="12"/>
                <c:pt idx="0">
                  <c:v>11670.9</c:v>
                </c:pt>
                <c:pt idx="1">
                  <c:v>11319.8</c:v>
                </c:pt>
                <c:pt idx="2">
                  <c:v>12772.3</c:v>
                </c:pt>
                <c:pt idx="3">
                  <c:v>12614.5</c:v>
                </c:pt>
                <c:pt idx="4">
                  <c:v>9525.4</c:v>
                </c:pt>
                <c:pt idx="5">
                  <c:v>9337.9</c:v>
                </c:pt>
                <c:pt idx="6">
                  <c:v>9453.2000000000007</c:v>
                </c:pt>
                <c:pt idx="7">
                  <c:v>10122.700000000001</c:v>
                </c:pt>
                <c:pt idx="8">
                  <c:v>7171</c:v>
                </c:pt>
                <c:pt idx="9">
                  <c:v>6926.6</c:v>
                </c:pt>
                <c:pt idx="10">
                  <c:v>7516.9</c:v>
                </c:pt>
                <c:pt idx="11">
                  <c:v>7579.7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54-4D89-A3BE-08B5000D5E8B}"/>
            </c:ext>
          </c:extLst>
        </c:ser>
        <c:ser>
          <c:idx val="1"/>
          <c:order val="1"/>
          <c:spPr>
            <a:solidFill>
              <a:sysClr val="window" lastClr="FFFFFF"/>
            </a:solidFill>
            <a:ln>
              <a:noFill/>
            </a:ln>
            <a:effectLst/>
          </c:spPr>
          <c:invertIfNegative val="0"/>
          <c:errBars>
            <c:errBarType val="min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stream_results!$C$15:$N$15</c:f>
              <c:strCache>
                <c:ptCount val="12"/>
                <c:pt idx="0">
                  <c:v>Copy</c:v>
                </c:pt>
                <c:pt idx="1">
                  <c:v>Scale</c:v>
                </c:pt>
                <c:pt idx="2">
                  <c:v>Add </c:v>
                </c:pt>
                <c:pt idx="3">
                  <c:v>Triad </c:v>
                </c:pt>
                <c:pt idx="4">
                  <c:v>Copy </c:v>
                </c:pt>
                <c:pt idx="5">
                  <c:v>Scale</c:v>
                </c:pt>
                <c:pt idx="6">
                  <c:v>Add</c:v>
                </c:pt>
                <c:pt idx="7">
                  <c:v>Triad</c:v>
                </c:pt>
                <c:pt idx="8">
                  <c:v>Copy</c:v>
                </c:pt>
                <c:pt idx="9">
                  <c:v>Scale</c:v>
                </c:pt>
                <c:pt idx="10">
                  <c:v>Add</c:v>
                </c:pt>
                <c:pt idx="11">
                  <c:v>Triad</c:v>
                </c:pt>
              </c:strCache>
            </c:strRef>
          </c:cat>
          <c:val>
            <c:numRef>
              <c:f>stream_results!$C$24:$N$24</c:f>
              <c:numCache>
                <c:formatCode>#,##0.00000</c:formatCode>
                <c:ptCount val="12"/>
                <c:pt idx="0">
                  <c:v>143.32500000000073</c:v>
                </c:pt>
                <c:pt idx="1">
                  <c:v>169.72500000000036</c:v>
                </c:pt>
                <c:pt idx="2">
                  <c:v>149.52500000000146</c:v>
                </c:pt>
                <c:pt idx="3">
                  <c:v>181.27499999999964</c:v>
                </c:pt>
                <c:pt idx="4">
                  <c:v>2008.4750000000004</c:v>
                </c:pt>
                <c:pt idx="5">
                  <c:v>1785.1000000000004</c:v>
                </c:pt>
                <c:pt idx="6">
                  <c:v>3117.4749999999985</c:v>
                </c:pt>
                <c:pt idx="7">
                  <c:v>2256.875</c:v>
                </c:pt>
                <c:pt idx="8">
                  <c:v>537.75</c:v>
                </c:pt>
                <c:pt idx="9">
                  <c:v>591.44999999999891</c:v>
                </c:pt>
                <c:pt idx="10">
                  <c:v>922.77499999999964</c:v>
                </c:pt>
                <c:pt idx="11">
                  <c:v>855.55000000000018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54-4D89-A3BE-08B5000D5E8B}"/>
            </c:ext>
          </c:extLst>
        </c:ser>
        <c:ser>
          <c:idx val="2"/>
          <c:order val="2"/>
          <c:spPr>
            <a:solidFill>
              <a:schemeClr val="accent5">
                <a:lumMod val="20000"/>
                <a:lumOff val="80000"/>
              </a:schemeClr>
            </a:solidFill>
            <a:ln w="12700">
              <a:solidFill>
                <a:schemeClr val="accent5">
                  <a:lumMod val="75000"/>
                </a:schemeClr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 w="12700">
                <a:solidFill>
                  <a:schemeClr val="accent2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D54-4D89-A3BE-08B5000D5E8B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 w="12700">
                <a:solidFill>
                  <a:schemeClr val="accent2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9D54-4D89-A3BE-08B5000D5E8B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 w="12700">
                <a:solidFill>
                  <a:schemeClr val="accent2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9D54-4D89-A3BE-08B5000D5E8B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 w="12700">
                <a:solidFill>
                  <a:schemeClr val="accent2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A-9D54-4D89-A3BE-08B5000D5E8B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6">
                  <a:lumMod val="20000"/>
                  <a:lumOff val="80000"/>
                </a:schemeClr>
              </a:solidFill>
              <a:ln w="12700">
                <a:solidFill>
                  <a:schemeClr val="accent6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9D54-4D89-A3BE-08B5000D5E8B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>
                  <a:lumMod val="20000"/>
                  <a:lumOff val="80000"/>
                </a:schemeClr>
              </a:solidFill>
              <a:ln w="12700">
                <a:solidFill>
                  <a:schemeClr val="accent6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9D54-4D89-A3BE-08B5000D5E8B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>
                  <a:lumMod val="20000"/>
                  <a:lumOff val="80000"/>
                </a:schemeClr>
              </a:solidFill>
              <a:ln w="12700">
                <a:solidFill>
                  <a:schemeClr val="accent6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9D54-4D89-A3BE-08B5000D5E8B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lumMod val="20000"/>
                  <a:lumOff val="80000"/>
                </a:schemeClr>
              </a:solidFill>
              <a:ln w="12700">
                <a:solidFill>
                  <a:schemeClr val="accent6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C-9D54-4D89-A3BE-08B5000D5E8B}"/>
              </c:ext>
            </c:extLst>
          </c:dPt>
          <c:cat>
            <c:strRef>
              <c:f>stream_results!$C$15:$N$15</c:f>
              <c:strCache>
                <c:ptCount val="12"/>
                <c:pt idx="0">
                  <c:v>Copy</c:v>
                </c:pt>
                <c:pt idx="1">
                  <c:v>Scale</c:v>
                </c:pt>
                <c:pt idx="2">
                  <c:v>Add </c:v>
                </c:pt>
                <c:pt idx="3">
                  <c:v>Triad </c:v>
                </c:pt>
                <c:pt idx="4">
                  <c:v>Copy </c:v>
                </c:pt>
                <c:pt idx="5">
                  <c:v>Scale</c:v>
                </c:pt>
                <c:pt idx="6">
                  <c:v>Add</c:v>
                </c:pt>
                <c:pt idx="7">
                  <c:v>Triad</c:v>
                </c:pt>
                <c:pt idx="8">
                  <c:v>Copy</c:v>
                </c:pt>
                <c:pt idx="9">
                  <c:v>Scale</c:v>
                </c:pt>
                <c:pt idx="10">
                  <c:v>Add</c:v>
                </c:pt>
                <c:pt idx="11">
                  <c:v>Triad</c:v>
                </c:pt>
              </c:strCache>
            </c:strRef>
          </c:cat>
          <c:val>
            <c:numRef>
              <c:f>stream_results!$C$25:$N$25</c:f>
              <c:numCache>
                <c:formatCode>#,##0.00000</c:formatCode>
                <c:ptCount val="12"/>
                <c:pt idx="0">
                  <c:v>42.574999999998909</c:v>
                </c:pt>
                <c:pt idx="1">
                  <c:v>38.675000000001091</c:v>
                </c:pt>
                <c:pt idx="2">
                  <c:v>47.774999999999636</c:v>
                </c:pt>
                <c:pt idx="3">
                  <c:v>58.725000000000364</c:v>
                </c:pt>
                <c:pt idx="4">
                  <c:v>110.32500000000073</c:v>
                </c:pt>
                <c:pt idx="5">
                  <c:v>209.79999999999927</c:v>
                </c:pt>
                <c:pt idx="6">
                  <c:v>209.67500000000109</c:v>
                </c:pt>
                <c:pt idx="7">
                  <c:v>231.125</c:v>
                </c:pt>
                <c:pt idx="8">
                  <c:v>586.10000000000036</c:v>
                </c:pt>
                <c:pt idx="9">
                  <c:v>609.35000000000036</c:v>
                </c:pt>
                <c:pt idx="10">
                  <c:v>703.52500000000146</c:v>
                </c:pt>
                <c:pt idx="11">
                  <c:v>682.79999999999927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54-4D89-A3BE-08B5000D5E8B}"/>
            </c:ext>
          </c:extLst>
        </c:ser>
        <c:ser>
          <c:idx val="3"/>
          <c:order val="3"/>
          <c:spPr>
            <a:solidFill>
              <a:schemeClr val="accent5">
                <a:lumMod val="20000"/>
                <a:lumOff val="80000"/>
              </a:schemeClr>
            </a:solidFill>
            <a:ln w="12700">
              <a:solidFill>
                <a:schemeClr val="accent6">
                  <a:lumMod val="75000"/>
                </a:schemeClr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 w="12700">
                <a:solidFill>
                  <a:schemeClr val="accent2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9D54-4D89-A3BE-08B5000D5E8B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 w="12700">
                <a:solidFill>
                  <a:schemeClr val="accent2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9D54-4D89-A3BE-08B5000D5E8B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 w="12700">
                <a:solidFill>
                  <a:schemeClr val="accent2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9D54-4D89-A3BE-08B5000D5E8B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 w="12700">
                <a:solidFill>
                  <a:schemeClr val="accent2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9D54-4D89-A3BE-08B5000D5E8B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6">
                  <a:lumMod val="20000"/>
                  <a:lumOff val="80000"/>
                </a:schemeClr>
              </a:solidFill>
              <a:ln w="12700">
                <a:solidFill>
                  <a:schemeClr val="accent6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D54-4D89-A3BE-08B5000D5E8B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>
                  <a:lumMod val="20000"/>
                  <a:lumOff val="80000"/>
                </a:schemeClr>
              </a:solidFill>
              <a:ln w="12700">
                <a:solidFill>
                  <a:schemeClr val="accent6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9D54-4D89-A3BE-08B5000D5E8B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>
                  <a:lumMod val="20000"/>
                  <a:lumOff val="80000"/>
                </a:schemeClr>
              </a:solidFill>
              <a:ln w="12700">
                <a:solidFill>
                  <a:schemeClr val="accent6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9D54-4D89-A3BE-08B5000D5E8B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lumMod val="20000"/>
                  <a:lumOff val="80000"/>
                </a:schemeClr>
              </a:solidFill>
              <a:ln w="12700">
                <a:solidFill>
                  <a:schemeClr val="accent6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9D54-4D89-A3BE-08B5000D5E8B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 w="12700">
                <a:solidFill>
                  <a:schemeClr val="accent5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8968-4C62-822B-CADE41B45B48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 w="12700">
                <a:solidFill>
                  <a:schemeClr val="accent5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8968-4C62-822B-CADE41B45B48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 w="12700">
                <a:solidFill>
                  <a:schemeClr val="accent5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8968-4C62-822B-CADE41B45B48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 w="19050">
                <a:solidFill>
                  <a:schemeClr val="accent5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8968-4C62-822B-CADE41B45B48}"/>
              </c:ext>
            </c:extLst>
          </c:dPt>
          <c:cat>
            <c:strRef>
              <c:f>stream_results!$C$15:$N$15</c:f>
              <c:strCache>
                <c:ptCount val="12"/>
                <c:pt idx="0">
                  <c:v>Copy</c:v>
                </c:pt>
                <c:pt idx="1">
                  <c:v>Scale</c:v>
                </c:pt>
                <c:pt idx="2">
                  <c:v>Add </c:v>
                </c:pt>
                <c:pt idx="3">
                  <c:v>Triad </c:v>
                </c:pt>
                <c:pt idx="4">
                  <c:v>Copy </c:v>
                </c:pt>
                <c:pt idx="5">
                  <c:v>Scale</c:v>
                </c:pt>
                <c:pt idx="6">
                  <c:v>Add</c:v>
                </c:pt>
                <c:pt idx="7">
                  <c:v>Triad</c:v>
                </c:pt>
                <c:pt idx="8">
                  <c:v>Copy</c:v>
                </c:pt>
                <c:pt idx="9">
                  <c:v>Scale</c:v>
                </c:pt>
                <c:pt idx="10">
                  <c:v>Add</c:v>
                </c:pt>
                <c:pt idx="11">
                  <c:v>Triad</c:v>
                </c:pt>
              </c:strCache>
            </c:strRef>
          </c:cat>
          <c:val>
            <c:numRef>
              <c:f>stream_results!$C$26:$N$26</c:f>
              <c:numCache>
                <c:formatCode>#,##0.00000</c:formatCode>
                <c:ptCount val="12"/>
                <c:pt idx="0">
                  <c:v>17.475000000000364</c:v>
                </c:pt>
                <c:pt idx="1">
                  <c:v>19.600000000000364</c:v>
                </c:pt>
                <c:pt idx="2">
                  <c:v>39.524999999999636</c:v>
                </c:pt>
                <c:pt idx="3">
                  <c:v>6.875</c:v>
                </c:pt>
                <c:pt idx="4">
                  <c:v>91.799999999999272</c:v>
                </c:pt>
                <c:pt idx="5">
                  <c:v>53.424999999999272</c:v>
                </c:pt>
                <c:pt idx="6">
                  <c:v>87.875</c:v>
                </c:pt>
                <c:pt idx="7">
                  <c:v>101.82499999999891</c:v>
                </c:pt>
                <c:pt idx="8">
                  <c:v>1998.25</c:v>
                </c:pt>
                <c:pt idx="9">
                  <c:v>1738.7250000000004</c:v>
                </c:pt>
                <c:pt idx="10">
                  <c:v>2086.1999999999989</c:v>
                </c:pt>
                <c:pt idx="11">
                  <c:v>1965.0500000000011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D54-4D89-A3BE-08B5000D5E8B}"/>
            </c:ext>
          </c:extLst>
        </c:ser>
        <c:ser>
          <c:idx val="4"/>
          <c:order val="4"/>
          <c:spPr>
            <a:solidFill>
              <a:sysClr val="window" lastClr="FFFFFF"/>
            </a:solidFill>
            <a:ln>
              <a:noFill/>
            </a:ln>
            <a:effectLst/>
          </c:spPr>
          <c:invertIfNegative val="0"/>
          <c:errBars>
            <c:errBarType val="min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stream_results!$C$15:$N$15</c:f>
              <c:strCache>
                <c:ptCount val="12"/>
                <c:pt idx="0">
                  <c:v>Copy</c:v>
                </c:pt>
                <c:pt idx="1">
                  <c:v>Scale</c:v>
                </c:pt>
                <c:pt idx="2">
                  <c:v>Add </c:v>
                </c:pt>
                <c:pt idx="3">
                  <c:v>Triad </c:v>
                </c:pt>
                <c:pt idx="4">
                  <c:v>Copy </c:v>
                </c:pt>
                <c:pt idx="5">
                  <c:v>Scale</c:v>
                </c:pt>
                <c:pt idx="6">
                  <c:v>Add</c:v>
                </c:pt>
                <c:pt idx="7">
                  <c:v>Triad</c:v>
                </c:pt>
                <c:pt idx="8">
                  <c:v>Copy</c:v>
                </c:pt>
                <c:pt idx="9">
                  <c:v>Scale</c:v>
                </c:pt>
                <c:pt idx="10">
                  <c:v>Add</c:v>
                </c:pt>
                <c:pt idx="11">
                  <c:v>Triad</c:v>
                </c:pt>
              </c:strCache>
            </c:strRef>
          </c:cat>
          <c:val>
            <c:numRef>
              <c:f>stream_results!$C$27:$N$27</c:f>
              <c:numCache>
                <c:formatCode>#,##0.00000</c:formatCode>
                <c:ptCount val="12"/>
                <c:pt idx="0">
                  <c:v>22.625</c:v>
                </c:pt>
                <c:pt idx="1">
                  <c:v>21.799999999999272</c:v>
                </c:pt>
                <c:pt idx="2">
                  <c:v>19.975000000000364</c:v>
                </c:pt>
                <c:pt idx="3">
                  <c:v>10.225000000000364</c:v>
                </c:pt>
                <c:pt idx="4">
                  <c:v>171.60000000000036</c:v>
                </c:pt>
                <c:pt idx="5">
                  <c:v>108.37500000000182</c:v>
                </c:pt>
                <c:pt idx="6">
                  <c:v>141.97500000000036</c:v>
                </c:pt>
                <c:pt idx="7">
                  <c:v>125.57500000000073</c:v>
                </c:pt>
                <c:pt idx="8">
                  <c:v>582.79999999999927</c:v>
                </c:pt>
                <c:pt idx="9">
                  <c:v>674.27499999999964</c:v>
                </c:pt>
                <c:pt idx="10">
                  <c:v>687.70000000000073</c:v>
                </c:pt>
                <c:pt idx="11">
                  <c:v>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D54-4D89-A3BE-08B5000D5E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30051968"/>
        <c:axId val="130046560"/>
      </c:barChart>
      <c:catAx>
        <c:axId val="1300519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Operation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30046560"/>
        <c:crosses val="autoZero"/>
        <c:auto val="1"/>
        <c:lblAlgn val="ctr"/>
        <c:lblOffset val="100"/>
        <c:noMultiLvlLbl val="0"/>
      </c:catAx>
      <c:valAx>
        <c:axId val="130046560"/>
        <c:scaling>
          <c:orientation val="minMax"/>
          <c:max val="13100"/>
          <c:min val="690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Rate of Execution (MB/s)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#,##0.00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30051968"/>
        <c:crosses val="autoZero"/>
        <c:crossBetween val="between"/>
      </c:valAx>
      <c:spPr>
        <a:noFill/>
        <a:ln w="9525"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280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687705</xdr:colOff>
      <xdr:row>76</xdr:row>
      <xdr:rowOff>163830</xdr:rowOff>
    </xdr:from>
    <xdr:to>
      <xdr:col>14</xdr:col>
      <xdr:colOff>716280</xdr:colOff>
      <xdr:row>130</xdr:row>
      <xdr:rowOff>156210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463BCEAA-939B-4E2A-B9E9-C585050902B4}"/>
            </a:ext>
          </a:extLst>
        </xdr:cNvPr>
        <xdr:cNvGrpSpPr/>
      </xdr:nvGrpSpPr>
      <xdr:grpSpPr>
        <a:xfrm>
          <a:off x="687705" y="14271716"/>
          <a:ext cx="13820775" cy="9985465"/>
          <a:chOff x="687705" y="14093190"/>
          <a:chExt cx="13775055" cy="9867900"/>
        </a:xfrm>
      </xdr:grpSpPr>
      <xdr:graphicFrame macro="">
        <xdr:nvGraphicFramePr>
          <xdr:cNvPr id="5" name="Chart 4">
            <a:extLst>
              <a:ext uri="{FF2B5EF4-FFF2-40B4-BE49-F238E27FC236}">
                <a16:creationId xmlns:a16="http://schemas.microsoft.com/office/drawing/2014/main" id="{1B6E0ACD-EFAC-42E9-84A4-32CF87D6CF0B}"/>
              </a:ext>
            </a:extLst>
          </xdr:cNvPr>
          <xdr:cNvGraphicFramePr/>
        </xdr:nvGraphicFramePr>
        <xdr:xfrm>
          <a:off x="687705" y="14093190"/>
          <a:ext cx="13775055" cy="98679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pic>
        <xdr:nvPicPr>
          <xdr:cNvPr id="21" name="Picture 20">
            <a:extLst>
              <a:ext uri="{FF2B5EF4-FFF2-40B4-BE49-F238E27FC236}">
                <a16:creationId xmlns:a16="http://schemas.microsoft.com/office/drawing/2014/main" id="{E87D2D78-7478-4D22-AB9B-9993637174C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3623817" y="14635936"/>
            <a:ext cx="2907031" cy="129921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853441</xdr:colOff>
      <xdr:row>76</xdr:row>
      <xdr:rowOff>41910</xdr:rowOff>
    </xdr:from>
    <xdr:to>
      <xdr:col>34</xdr:col>
      <xdr:colOff>415291</xdr:colOff>
      <xdr:row>130</xdr:row>
      <xdr:rowOff>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B050451-3216-4B98-9939-9DF12D37E59D}"/>
            </a:ext>
          </a:extLst>
        </xdr:cNvPr>
        <xdr:cNvGrpSpPr/>
      </xdr:nvGrpSpPr>
      <xdr:grpSpPr>
        <a:xfrm>
          <a:off x="14645641" y="14149796"/>
          <a:ext cx="14747421" cy="9951175"/>
          <a:chOff x="14599921" y="13971270"/>
          <a:chExt cx="14771370" cy="9833610"/>
        </a:xfrm>
      </xdr:grpSpPr>
      <xdr:graphicFrame macro="">
        <xdr:nvGraphicFramePr>
          <xdr:cNvPr id="13" name="Chart 12">
            <a:extLst>
              <a:ext uri="{FF2B5EF4-FFF2-40B4-BE49-F238E27FC236}">
                <a16:creationId xmlns:a16="http://schemas.microsoft.com/office/drawing/2014/main" id="{7F7D297D-C745-4327-AD18-F86A96396E04}"/>
              </a:ext>
            </a:extLst>
          </xdr:cNvPr>
          <xdr:cNvGraphicFramePr/>
        </xdr:nvGraphicFramePr>
        <xdr:xfrm>
          <a:off x="14599921" y="13971270"/>
          <a:ext cx="14771370" cy="98336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pic>
        <xdr:nvPicPr>
          <xdr:cNvPr id="22" name="Picture 21">
            <a:extLst>
              <a:ext uri="{FF2B5EF4-FFF2-40B4-BE49-F238E27FC236}">
                <a16:creationId xmlns:a16="http://schemas.microsoft.com/office/drawing/2014/main" id="{A1B37871-A4D8-42BE-B7F7-9616E2D107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5992327" y="14468296"/>
            <a:ext cx="3067051" cy="129921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472017</xdr:colOff>
      <xdr:row>28</xdr:row>
      <xdr:rowOff>14392</xdr:rowOff>
    </xdr:from>
    <xdr:to>
      <xdr:col>17</xdr:col>
      <xdr:colOff>336550</xdr:colOff>
      <xdr:row>81</xdr:row>
      <xdr:rowOff>27516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24A89C0-4A87-4D85-B5CD-D5288D4047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384810</xdr:colOff>
      <xdr:row>14</xdr:row>
      <xdr:rowOff>167640</xdr:rowOff>
    </xdr:from>
    <xdr:to>
      <xdr:col>14</xdr:col>
      <xdr:colOff>571500</xdr:colOff>
      <xdr:row>66</xdr:row>
      <xdr:rowOff>171450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56541FC-D2A4-4EC9-BD01-36E31A5A58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0</xdr:row>
      <xdr:rowOff>184964</xdr:rowOff>
    </xdr:from>
    <xdr:to>
      <xdr:col>38</xdr:col>
      <xdr:colOff>414084</xdr:colOff>
      <xdr:row>54</xdr:row>
      <xdr:rowOff>83820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1DCC4E97-5A96-4067-B321-043EF19C3CD4}"/>
            </a:ext>
          </a:extLst>
        </xdr:cNvPr>
        <xdr:cNvGrpSpPr/>
      </xdr:nvGrpSpPr>
      <xdr:grpSpPr>
        <a:xfrm>
          <a:off x="14230350" y="184964"/>
          <a:ext cx="14434884" cy="10185856"/>
          <a:chOff x="2628900" y="5442764"/>
          <a:chExt cx="14434884" cy="10185856"/>
        </a:xfrm>
      </xdr:grpSpPr>
      <xdr:graphicFrame macro="">
        <xdr:nvGraphicFramePr>
          <xdr:cNvPr id="5" name="Chart 4">
            <a:extLst>
              <a:ext uri="{FF2B5EF4-FFF2-40B4-BE49-F238E27FC236}">
                <a16:creationId xmlns:a16="http://schemas.microsoft.com/office/drawing/2014/main" id="{2BD74B7D-843D-4F2C-986A-B420EDC822E8}"/>
              </a:ext>
            </a:extLst>
          </xdr:cNvPr>
          <xdr:cNvGraphicFramePr/>
        </xdr:nvGraphicFramePr>
        <xdr:xfrm>
          <a:off x="2628900" y="5442764"/>
          <a:ext cx="14434884" cy="101858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pic>
        <xdr:nvPicPr>
          <xdr:cNvPr id="2" name="Picture 1">
            <a:extLst>
              <a:ext uri="{FF2B5EF4-FFF2-40B4-BE49-F238E27FC236}">
                <a16:creationId xmlns:a16="http://schemas.microsoft.com/office/drawing/2014/main" id="{C802FCB5-8C7B-43B5-9B57-C1983A52A0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644117" y="6049792"/>
            <a:ext cx="3067051" cy="1359159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723900</xdr:colOff>
      <xdr:row>43</xdr:row>
      <xdr:rowOff>57150</xdr:rowOff>
    </xdr:from>
    <xdr:to>
      <xdr:col>8</xdr:col>
      <xdr:colOff>552450</xdr:colOff>
      <xdr:row>43</xdr:row>
      <xdr:rowOff>57150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7434701C-7451-4B91-AD3B-65CE6F51345D}"/>
            </a:ext>
          </a:extLst>
        </xdr:cNvPr>
        <xdr:cNvCxnSpPr/>
      </xdr:nvCxnSpPr>
      <xdr:spPr>
        <a:xfrm>
          <a:off x="7410450" y="8248650"/>
          <a:ext cx="819150" cy="0"/>
        </a:xfrm>
        <a:prstGeom prst="line">
          <a:avLst/>
        </a:prstGeom>
        <a:ln>
          <a:solidFill>
            <a:schemeClr val="accent2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59937-CCA0-44DA-AA7F-69D95F23EF2D}">
  <dimension ref="A1:V110"/>
  <sheetViews>
    <sheetView tabSelected="1" topLeftCell="B1" zoomScale="70" zoomScaleNormal="70" workbookViewId="0">
      <selection activeCell="J29" sqref="J29"/>
    </sheetView>
  </sheetViews>
  <sheetFormatPr defaultRowHeight="14.4" x14ac:dyDescent="0.3"/>
  <cols>
    <col min="1" max="2" width="14.21875" customWidth="1"/>
    <col min="3" max="9" width="14.21875" style="4" customWidth="1"/>
    <col min="10" max="12" width="14.88671875" customWidth="1"/>
    <col min="13" max="13" width="14.88671875" style="4" customWidth="1"/>
    <col min="14" max="14" width="12.88671875" style="4" customWidth="1"/>
    <col min="15" max="25" width="12.88671875" customWidth="1"/>
  </cols>
  <sheetData>
    <row r="1" spans="1:22" x14ac:dyDescent="0.3">
      <c r="A1" s="59" t="s">
        <v>6</v>
      </c>
      <c r="B1" s="59"/>
      <c r="C1" s="59"/>
      <c r="D1" s="59"/>
      <c r="E1" s="59" t="s">
        <v>16</v>
      </c>
      <c r="F1" s="59"/>
      <c r="G1" s="59"/>
      <c r="H1" s="59"/>
      <c r="I1" s="59" t="s">
        <v>17</v>
      </c>
      <c r="J1" s="59"/>
      <c r="K1" s="59"/>
      <c r="L1" s="59"/>
      <c r="M1"/>
      <c r="N1"/>
    </row>
    <row r="2" spans="1:22" x14ac:dyDescent="0.3">
      <c r="A2" t="s">
        <v>8</v>
      </c>
      <c r="B2" t="s">
        <v>9</v>
      </c>
      <c r="C2" s="4" t="s">
        <v>10</v>
      </c>
      <c r="D2" s="4" t="s">
        <v>11</v>
      </c>
      <c r="E2" t="s">
        <v>8</v>
      </c>
      <c r="F2" t="s">
        <v>9</v>
      </c>
      <c r="G2" s="4" t="s">
        <v>10</v>
      </c>
      <c r="H2" s="4" t="s">
        <v>11</v>
      </c>
      <c r="I2" t="s">
        <v>8</v>
      </c>
      <c r="J2" t="s">
        <v>9</v>
      </c>
      <c r="K2" s="4" t="s">
        <v>10</v>
      </c>
      <c r="L2" s="4" t="s">
        <v>11</v>
      </c>
      <c r="M2"/>
      <c r="N2"/>
    </row>
    <row r="3" spans="1:22" x14ac:dyDescent="0.3">
      <c r="A3">
        <v>64</v>
      </c>
      <c r="B3">
        <v>16</v>
      </c>
      <c r="C3" s="4">
        <v>542506</v>
      </c>
      <c r="D3" s="4">
        <v>2923952</v>
      </c>
      <c r="E3">
        <v>64</v>
      </c>
      <c r="F3">
        <v>16</v>
      </c>
      <c r="G3" s="4">
        <v>507625</v>
      </c>
      <c r="H3" s="4">
        <v>2561267</v>
      </c>
      <c r="I3">
        <v>64</v>
      </c>
      <c r="J3">
        <v>16</v>
      </c>
      <c r="K3" s="4">
        <v>735831</v>
      </c>
      <c r="L3" s="4">
        <v>2133730</v>
      </c>
      <c r="M3"/>
    </row>
    <row r="4" spans="1:22" ht="15" thickBot="1" x14ac:dyDescent="0.35">
      <c r="A4">
        <v>64</v>
      </c>
      <c r="B4">
        <v>16</v>
      </c>
      <c r="C4" s="4">
        <v>686877</v>
      </c>
      <c r="D4" s="4">
        <v>2772930</v>
      </c>
      <c r="E4">
        <v>64</v>
      </c>
      <c r="F4">
        <v>16</v>
      </c>
      <c r="G4" s="4">
        <v>577521</v>
      </c>
      <c r="H4" s="4">
        <v>2561267</v>
      </c>
      <c r="I4">
        <v>64</v>
      </c>
      <c r="J4">
        <v>16</v>
      </c>
      <c r="K4" s="4">
        <v>639427</v>
      </c>
      <c r="L4" s="4">
        <v>4564786</v>
      </c>
      <c r="M4"/>
    </row>
    <row r="5" spans="1:22" x14ac:dyDescent="0.3">
      <c r="A5">
        <v>64</v>
      </c>
      <c r="B5">
        <v>16</v>
      </c>
      <c r="C5" s="4">
        <v>688639</v>
      </c>
      <c r="D5" s="4">
        <v>2892445</v>
      </c>
      <c r="E5">
        <v>64</v>
      </c>
      <c r="F5">
        <v>16</v>
      </c>
      <c r="G5" s="4">
        <v>587635</v>
      </c>
      <c r="H5" s="4">
        <v>2662899</v>
      </c>
      <c r="I5">
        <v>64</v>
      </c>
      <c r="J5">
        <v>16</v>
      </c>
      <c r="K5" s="4">
        <v>560635</v>
      </c>
      <c r="L5" s="4">
        <v>3541098</v>
      </c>
      <c r="M5"/>
      <c r="N5" s="43"/>
      <c r="O5" s="55" t="s">
        <v>6</v>
      </c>
      <c r="P5" s="55"/>
      <c r="Q5" s="50"/>
      <c r="R5" s="55" t="s">
        <v>0</v>
      </c>
      <c r="S5" s="55"/>
      <c r="T5" s="50"/>
      <c r="U5" s="55" t="s">
        <v>51</v>
      </c>
      <c r="V5" s="56"/>
    </row>
    <row r="6" spans="1:22" x14ac:dyDescent="0.3">
      <c r="A6">
        <v>64</v>
      </c>
      <c r="B6">
        <v>16</v>
      </c>
      <c r="C6" s="4">
        <v>542506</v>
      </c>
      <c r="D6" s="4">
        <v>2772930</v>
      </c>
      <c r="E6">
        <v>64</v>
      </c>
      <c r="F6">
        <v>16</v>
      </c>
      <c r="G6" s="4">
        <v>489126</v>
      </c>
      <c r="H6" s="4">
        <v>2467108</v>
      </c>
      <c r="I6">
        <v>64</v>
      </c>
      <c r="J6">
        <v>16</v>
      </c>
      <c r="K6" s="4">
        <v>733819</v>
      </c>
      <c r="L6" s="4">
        <v>4274062</v>
      </c>
      <c r="M6"/>
      <c r="N6" s="44"/>
      <c r="O6" s="57" t="s">
        <v>10</v>
      </c>
      <c r="P6" s="57"/>
      <c r="Q6" s="13"/>
      <c r="R6" s="57" t="s">
        <v>10</v>
      </c>
      <c r="S6" s="57"/>
      <c r="T6" s="13"/>
      <c r="U6" s="57" t="s">
        <v>10</v>
      </c>
      <c r="V6" s="58"/>
    </row>
    <row r="7" spans="1:22" x14ac:dyDescent="0.3">
      <c r="A7">
        <v>64</v>
      </c>
      <c r="B7">
        <v>16</v>
      </c>
      <c r="C7" s="4">
        <v>720041</v>
      </c>
      <c r="D7" s="4">
        <v>2772930</v>
      </c>
      <c r="E7">
        <v>64</v>
      </c>
      <c r="F7">
        <v>16</v>
      </c>
      <c r="G7" s="4">
        <v>608965</v>
      </c>
      <c r="H7" s="4">
        <v>2278628</v>
      </c>
      <c r="I7">
        <v>64</v>
      </c>
      <c r="J7">
        <v>16</v>
      </c>
      <c r="K7" s="4">
        <v>673098</v>
      </c>
      <c r="L7" s="4">
        <v>1452528</v>
      </c>
      <c r="M7"/>
      <c r="N7" s="44"/>
      <c r="O7" s="13" t="s">
        <v>50</v>
      </c>
      <c r="P7" s="13" t="s">
        <v>5</v>
      </c>
      <c r="Q7" s="13"/>
      <c r="R7" s="13" t="s">
        <v>50</v>
      </c>
      <c r="S7" s="13" t="s">
        <v>5</v>
      </c>
      <c r="T7" s="13"/>
      <c r="U7" s="13" t="s">
        <v>50</v>
      </c>
      <c r="V7" s="51" t="s">
        <v>5</v>
      </c>
    </row>
    <row r="8" spans="1:22" x14ac:dyDescent="0.3">
      <c r="A8">
        <v>64</v>
      </c>
      <c r="B8">
        <v>16</v>
      </c>
      <c r="C8" s="4">
        <v>443837</v>
      </c>
      <c r="D8" s="4">
        <v>2772930</v>
      </c>
      <c r="E8">
        <v>64</v>
      </c>
      <c r="F8">
        <v>16</v>
      </c>
      <c r="G8" s="4">
        <v>511494</v>
      </c>
      <c r="H8" s="4">
        <v>2561267</v>
      </c>
      <c r="I8">
        <v>64</v>
      </c>
      <c r="J8">
        <v>16</v>
      </c>
      <c r="K8" s="4">
        <v>633392</v>
      </c>
      <c r="L8" s="4">
        <v>4018152</v>
      </c>
      <c r="M8"/>
      <c r="N8" s="45">
        <v>64</v>
      </c>
      <c r="O8" s="13">
        <f>AVERAGE(C3:C12)</f>
        <v>632946.80000000005</v>
      </c>
      <c r="P8" s="13">
        <f>_xlfn.STDEV.P(C3:C12)</f>
        <v>94134.766807805921</v>
      </c>
      <c r="Q8" s="46">
        <v>64</v>
      </c>
      <c r="R8" s="13">
        <f>AVERAGE(G3:G12)</f>
        <v>536316.19999999995</v>
      </c>
      <c r="S8" s="13">
        <f>_xlfn.STDEV.P(G3:G12)</f>
        <v>43105.036169338731</v>
      </c>
      <c r="T8" s="46">
        <v>64</v>
      </c>
      <c r="U8" s="13">
        <f>AVERAGE(K3:K12)</f>
        <v>678940.1</v>
      </c>
      <c r="V8" s="51">
        <f>_xlfn.STDEV.P(K3:K12)</f>
        <v>91161.869089493775</v>
      </c>
    </row>
    <row r="9" spans="1:22" x14ac:dyDescent="0.3">
      <c r="A9">
        <v>64</v>
      </c>
      <c r="B9">
        <v>16</v>
      </c>
      <c r="C9" s="4">
        <v>592827</v>
      </c>
      <c r="D9" s="4">
        <v>3057153</v>
      </c>
      <c r="E9">
        <v>64</v>
      </c>
      <c r="F9">
        <v>16</v>
      </c>
      <c r="G9" s="4">
        <v>566551</v>
      </c>
      <c r="H9" s="4">
        <v>2689580</v>
      </c>
      <c r="I9">
        <v>64</v>
      </c>
      <c r="J9">
        <v>16</v>
      </c>
      <c r="K9" s="4">
        <v>503814</v>
      </c>
      <c r="L9" s="4">
        <v>4274062</v>
      </c>
      <c r="M9"/>
      <c r="N9" s="45">
        <v>512</v>
      </c>
      <c r="O9" s="13">
        <f>AVERAGE(C13:C22)</f>
        <v>950840.1</v>
      </c>
      <c r="P9" s="13">
        <f>_xlfn.STDEV.P(C13:C22)</f>
        <v>149091.12426730842</v>
      </c>
      <c r="Q9" s="46">
        <v>512</v>
      </c>
      <c r="R9" s="13">
        <f>AVERAGE(G13:G22)</f>
        <v>776332.80000000005</v>
      </c>
      <c r="S9" s="13">
        <f>_xlfn.STDEV.P(G13:G22)</f>
        <v>88514.715131214194</v>
      </c>
      <c r="T9" s="46">
        <v>512</v>
      </c>
      <c r="U9" s="13">
        <f>AVERAGE(K13:K22)</f>
        <v>1053219.6000000001</v>
      </c>
      <c r="V9" s="51">
        <f>_xlfn.STDEV.P(K13:K22)</f>
        <v>183196.55729800166</v>
      </c>
    </row>
    <row r="10" spans="1:22" x14ac:dyDescent="0.3">
      <c r="A10">
        <v>64</v>
      </c>
      <c r="B10">
        <v>16</v>
      </c>
      <c r="C10" s="4">
        <v>695778</v>
      </c>
      <c r="D10" s="4">
        <v>3057153</v>
      </c>
      <c r="E10">
        <v>64</v>
      </c>
      <c r="F10">
        <v>16</v>
      </c>
      <c r="G10" s="4">
        <v>529661</v>
      </c>
      <c r="H10" s="4">
        <v>2662899</v>
      </c>
      <c r="I10">
        <v>64</v>
      </c>
      <c r="J10">
        <v>16</v>
      </c>
      <c r="K10" s="4">
        <v>720041</v>
      </c>
      <c r="L10" s="4">
        <v>3958892</v>
      </c>
      <c r="M10"/>
      <c r="N10" s="45" t="s">
        <v>28</v>
      </c>
      <c r="O10" s="13">
        <f>AVERAGE(C23:C32)</f>
        <v>1091997.8999999999</v>
      </c>
      <c r="P10" s="13">
        <f>_xlfn.STDEV.P(C23:C32)</f>
        <v>110958.83258258444</v>
      </c>
      <c r="Q10" s="46" t="s">
        <v>28</v>
      </c>
      <c r="R10" s="13">
        <f>AVERAGE(G23:G32)</f>
        <v>810139.3</v>
      </c>
      <c r="S10" s="13">
        <f>_xlfn.STDEV.P(G23:G32)</f>
        <v>25891.514486603523</v>
      </c>
      <c r="T10" s="46" t="s">
        <v>28</v>
      </c>
      <c r="U10" s="13">
        <f>AVERAGE(K23:K32)</f>
        <v>1065756.8999999999</v>
      </c>
      <c r="V10" s="51">
        <f>_xlfn.STDEV.P(K23:K32)</f>
        <v>286997.12655371655</v>
      </c>
    </row>
    <row r="11" spans="1:22" x14ac:dyDescent="0.3">
      <c r="A11">
        <v>64</v>
      </c>
      <c r="B11">
        <v>16</v>
      </c>
      <c r="C11" s="4">
        <v>653436</v>
      </c>
      <c r="D11" s="4">
        <v>3363612</v>
      </c>
      <c r="E11">
        <v>64</v>
      </c>
      <c r="F11">
        <v>16</v>
      </c>
      <c r="G11" s="4">
        <v>476959</v>
      </c>
      <c r="H11" s="4">
        <v>2467108</v>
      </c>
      <c r="I11">
        <v>64</v>
      </c>
      <c r="J11">
        <v>16</v>
      </c>
      <c r="K11" s="4">
        <v>799377</v>
      </c>
      <c r="L11" s="4">
        <v>4274062</v>
      </c>
      <c r="M11"/>
      <c r="N11" s="45" t="s">
        <v>31</v>
      </c>
      <c r="O11" s="13">
        <f>AVERAGE(C33:C42)</f>
        <v>1156319</v>
      </c>
      <c r="P11" s="13">
        <f>_xlfn.STDEV.P(C33:C42)</f>
        <v>106663.90876299256</v>
      </c>
      <c r="Q11" s="46" t="s">
        <v>31</v>
      </c>
      <c r="R11" s="13">
        <f>AVERAGE(G33:G42)</f>
        <v>928579.3</v>
      </c>
      <c r="S11" s="13">
        <f>_xlfn.STDEV.P(G33:G42)</f>
        <v>90246.197314956153</v>
      </c>
      <c r="T11" s="46" t="s">
        <v>31</v>
      </c>
      <c r="U11" s="13">
        <f>AVERAGE(K33:K42)</f>
        <v>1134265.2</v>
      </c>
      <c r="V11" s="51">
        <f>_xlfn.STDEV.P(K33:K42)</f>
        <v>369890.64291079331</v>
      </c>
    </row>
    <row r="12" spans="1:22" x14ac:dyDescent="0.3">
      <c r="A12">
        <v>64</v>
      </c>
      <c r="B12">
        <v>16</v>
      </c>
      <c r="C12" s="4">
        <v>763021</v>
      </c>
      <c r="D12" s="4">
        <v>2801873</v>
      </c>
      <c r="E12">
        <v>64</v>
      </c>
      <c r="F12">
        <v>16</v>
      </c>
      <c r="G12" s="4">
        <v>507625</v>
      </c>
      <c r="H12" s="4">
        <v>2662899</v>
      </c>
      <c r="I12">
        <v>64</v>
      </c>
      <c r="J12">
        <v>16</v>
      </c>
      <c r="K12" s="4">
        <v>789967</v>
      </c>
      <c r="L12" s="4">
        <v>4018152</v>
      </c>
      <c r="M12"/>
      <c r="N12" s="53"/>
      <c r="O12" s="57" t="s">
        <v>11</v>
      </c>
      <c r="P12" s="57"/>
      <c r="Q12" s="54"/>
      <c r="R12" s="57" t="s">
        <v>11</v>
      </c>
      <c r="S12" s="57"/>
      <c r="T12" s="54"/>
      <c r="U12" s="57" t="s">
        <v>11</v>
      </c>
      <c r="V12" s="58"/>
    </row>
    <row r="13" spans="1:22" x14ac:dyDescent="0.3">
      <c r="A13">
        <v>512</v>
      </c>
      <c r="B13">
        <v>16</v>
      </c>
      <c r="C13" s="4">
        <v>734482</v>
      </c>
      <c r="D13" s="4">
        <v>3388236</v>
      </c>
      <c r="E13">
        <v>512</v>
      </c>
      <c r="F13">
        <v>16</v>
      </c>
      <c r="G13" s="4">
        <v>883081</v>
      </c>
      <c r="H13" s="4">
        <v>2294796</v>
      </c>
      <c r="I13">
        <v>512</v>
      </c>
      <c r="J13">
        <v>16</v>
      </c>
      <c r="K13" s="4">
        <v>793951</v>
      </c>
      <c r="L13" s="4">
        <v>3610395</v>
      </c>
      <c r="M13"/>
      <c r="N13" s="45">
        <v>64</v>
      </c>
      <c r="O13" s="13">
        <f>AVERAGE(D3:D12)</f>
        <v>2918790.8</v>
      </c>
      <c r="P13" s="13">
        <f>_xlfn.STDEV.P(D3:D12)</f>
        <v>183206.46816463658</v>
      </c>
      <c r="Q13" s="46">
        <v>64</v>
      </c>
      <c r="R13" s="13">
        <f>AVERAGE(H3:H12)</f>
        <v>2557492.2000000002</v>
      </c>
      <c r="S13" s="13">
        <f>_xlfn.STDEV.P(H3:H12)</f>
        <v>120385.03394259604</v>
      </c>
      <c r="T13" s="46">
        <v>64</v>
      </c>
      <c r="U13" s="13">
        <f>AVERAGE(L3:L12)</f>
        <v>3650952.4</v>
      </c>
      <c r="V13" s="51">
        <f>_xlfn.STDEV.P(L3:L12)</f>
        <v>975268.58361327322</v>
      </c>
    </row>
    <row r="14" spans="1:22" x14ac:dyDescent="0.3">
      <c r="A14">
        <v>512</v>
      </c>
      <c r="B14">
        <v>16</v>
      </c>
      <c r="C14" s="4">
        <v>1108203</v>
      </c>
      <c r="D14" s="4">
        <v>3046915</v>
      </c>
      <c r="E14">
        <v>512</v>
      </c>
      <c r="F14">
        <v>16</v>
      </c>
      <c r="G14" s="4">
        <v>743123</v>
      </c>
      <c r="H14" s="4">
        <v>2347475</v>
      </c>
      <c r="I14">
        <v>512</v>
      </c>
      <c r="J14">
        <v>16</v>
      </c>
      <c r="K14" s="4">
        <v>1306409</v>
      </c>
      <c r="L14" s="4">
        <v>3140488</v>
      </c>
      <c r="M14"/>
      <c r="N14" s="45">
        <v>512</v>
      </c>
      <c r="O14" s="13">
        <f>AVERAGE(D13:D22)</f>
        <v>3068431.9</v>
      </c>
      <c r="P14" s="13">
        <f>_xlfn.STDEV.P(D13:D22)</f>
        <v>255506.08776404918</v>
      </c>
      <c r="Q14" s="46">
        <v>512</v>
      </c>
      <c r="R14" s="13">
        <f>AVERAGE(H13:H22)</f>
        <v>2458314</v>
      </c>
      <c r="S14" s="13">
        <f>_xlfn.STDEV.P(H13:H22)</f>
        <v>303243.63957979402</v>
      </c>
      <c r="T14" s="46">
        <v>512</v>
      </c>
      <c r="U14" s="13">
        <f>AVERAGE(L13:L22)</f>
        <v>3652540.6</v>
      </c>
      <c r="V14" s="51">
        <f>_xlfn.STDEV.P(L13:L22)</f>
        <v>541733.98532383039</v>
      </c>
    </row>
    <row r="15" spans="1:22" x14ac:dyDescent="0.3">
      <c r="A15">
        <v>512</v>
      </c>
      <c r="B15">
        <v>16</v>
      </c>
      <c r="C15" s="4">
        <v>1137555</v>
      </c>
      <c r="D15" s="4">
        <v>3304808</v>
      </c>
      <c r="E15">
        <v>512</v>
      </c>
      <c r="F15">
        <v>16</v>
      </c>
      <c r="G15" s="4">
        <v>855978</v>
      </c>
      <c r="H15" s="4">
        <v>2695115</v>
      </c>
      <c r="I15">
        <v>512</v>
      </c>
      <c r="J15">
        <v>16</v>
      </c>
      <c r="K15" s="4">
        <v>1157794</v>
      </c>
      <c r="L15" s="4">
        <v>3437042</v>
      </c>
      <c r="M15"/>
      <c r="N15" s="45" t="s">
        <v>28</v>
      </c>
      <c r="O15" s="13">
        <f>AVERAGE(D23:D32)</f>
        <v>2928518.3</v>
      </c>
      <c r="P15" s="13">
        <f>_xlfn.STDEV.P(D23:D32)</f>
        <v>108861.55812135889</v>
      </c>
      <c r="Q15" s="46" t="s">
        <v>28</v>
      </c>
      <c r="R15" s="13">
        <f>AVERAGE(H23:H32)</f>
        <v>2509336.7999999998</v>
      </c>
      <c r="S15" s="13">
        <f>_xlfn.STDEV.P(H23:H32)</f>
        <v>168234.43659239329</v>
      </c>
      <c r="T15" s="46" t="s">
        <v>28</v>
      </c>
      <c r="U15" s="13">
        <f>AVERAGE(L23:L32)</f>
        <v>2925663.8</v>
      </c>
      <c r="V15" s="51">
        <f>_xlfn.STDEV.P(L23:L32)</f>
        <v>469191.32324261923</v>
      </c>
    </row>
    <row r="16" spans="1:22" ht="15" thickBot="1" x14ac:dyDescent="0.35">
      <c r="A16">
        <v>512</v>
      </c>
      <c r="B16">
        <v>16</v>
      </c>
      <c r="C16" s="4">
        <v>1021732</v>
      </c>
      <c r="D16" s="4">
        <v>3029721</v>
      </c>
      <c r="E16">
        <v>512</v>
      </c>
      <c r="F16">
        <v>16</v>
      </c>
      <c r="G16" s="4">
        <v>757541</v>
      </c>
      <c r="H16" s="4">
        <v>2668325</v>
      </c>
      <c r="I16">
        <v>512</v>
      </c>
      <c r="J16">
        <v>16</v>
      </c>
      <c r="K16" s="4">
        <v>1227971</v>
      </c>
      <c r="L16" s="4">
        <v>3934520</v>
      </c>
      <c r="M16"/>
      <c r="N16" s="47" t="s">
        <v>31</v>
      </c>
      <c r="O16" s="48">
        <f>AVERAGE(D33:D42)</f>
        <v>2485409</v>
      </c>
      <c r="P16" s="48">
        <f>_xlfn.STDEV.P(D33:D42)</f>
        <v>108072.91472242247</v>
      </c>
      <c r="Q16" s="49" t="s">
        <v>31</v>
      </c>
      <c r="R16" s="48">
        <f>AVERAGE(H33:H42)</f>
        <v>2218378.6</v>
      </c>
      <c r="S16" s="48">
        <f>_xlfn.STDEV.P(H33:H42)</f>
        <v>80127.744915478557</v>
      </c>
      <c r="T16" s="49" t="s">
        <v>31</v>
      </c>
      <c r="U16" s="48">
        <f>AVERAGE(L33:L42)</f>
        <v>2769857.3</v>
      </c>
      <c r="V16" s="52">
        <f>_xlfn.STDEV.P(L33:L42)</f>
        <v>336946.21730449802</v>
      </c>
    </row>
    <row r="17" spans="1:14" x14ac:dyDescent="0.3">
      <c r="A17">
        <v>512</v>
      </c>
      <c r="B17">
        <v>16</v>
      </c>
      <c r="C17" s="4">
        <v>1108203</v>
      </c>
      <c r="D17" s="4">
        <v>2449212</v>
      </c>
      <c r="E17">
        <v>512</v>
      </c>
      <c r="F17">
        <v>16</v>
      </c>
      <c r="G17" s="4">
        <v>888930</v>
      </c>
      <c r="H17" s="4">
        <v>2651850</v>
      </c>
      <c r="I17">
        <v>512</v>
      </c>
      <c r="J17">
        <v>16</v>
      </c>
      <c r="K17" s="4">
        <v>826971</v>
      </c>
      <c r="L17" s="4">
        <v>4195896</v>
      </c>
      <c r="M17"/>
      <c r="N17"/>
    </row>
    <row r="18" spans="1:14" x14ac:dyDescent="0.3">
      <c r="A18">
        <v>512</v>
      </c>
      <c r="B18">
        <v>16</v>
      </c>
      <c r="C18" s="4">
        <v>1036527</v>
      </c>
      <c r="D18" s="4">
        <v>3259661</v>
      </c>
      <c r="E18">
        <v>512</v>
      </c>
      <c r="F18">
        <v>16</v>
      </c>
      <c r="G18" s="4">
        <v>665101</v>
      </c>
      <c r="H18" s="4">
        <v>2486072</v>
      </c>
      <c r="I18">
        <v>512</v>
      </c>
      <c r="J18">
        <v>16</v>
      </c>
      <c r="K18" s="4">
        <v>1101383</v>
      </c>
      <c r="L18" s="4">
        <v>4305250</v>
      </c>
      <c r="M18"/>
      <c r="N18"/>
    </row>
    <row r="19" spans="1:14" x14ac:dyDescent="0.3">
      <c r="A19">
        <v>512</v>
      </c>
      <c r="B19">
        <v>16</v>
      </c>
      <c r="C19" s="4">
        <v>760762</v>
      </c>
      <c r="D19" s="4">
        <v>3008498</v>
      </c>
      <c r="E19">
        <v>512</v>
      </c>
      <c r="F19">
        <v>16</v>
      </c>
      <c r="G19" s="4">
        <v>653762</v>
      </c>
      <c r="H19" s="4">
        <v>1795846</v>
      </c>
      <c r="I19">
        <v>512</v>
      </c>
      <c r="J19">
        <v>16</v>
      </c>
      <c r="K19" s="4">
        <v>1207940</v>
      </c>
      <c r="L19" s="4">
        <v>4411377</v>
      </c>
      <c r="M19"/>
      <c r="N19"/>
    </row>
    <row r="20" spans="1:14" x14ac:dyDescent="0.3">
      <c r="A20">
        <v>512</v>
      </c>
      <c r="B20">
        <v>16</v>
      </c>
      <c r="C20" s="4">
        <v>967855</v>
      </c>
      <c r="D20" s="4">
        <v>3279573</v>
      </c>
      <c r="E20">
        <v>512</v>
      </c>
      <c r="F20">
        <v>16</v>
      </c>
      <c r="G20" s="4">
        <v>714207</v>
      </c>
      <c r="H20" s="4">
        <v>2979282</v>
      </c>
      <c r="I20">
        <v>512</v>
      </c>
      <c r="J20">
        <v>16</v>
      </c>
      <c r="K20" s="4">
        <v>1171691</v>
      </c>
      <c r="L20" s="4">
        <v>3279573</v>
      </c>
      <c r="M20"/>
      <c r="N20"/>
    </row>
    <row r="21" spans="1:14" x14ac:dyDescent="0.3">
      <c r="A21">
        <v>512</v>
      </c>
      <c r="B21">
        <v>16</v>
      </c>
      <c r="C21" s="4">
        <v>760762</v>
      </c>
      <c r="D21" s="4">
        <v>2942541</v>
      </c>
      <c r="E21">
        <v>512</v>
      </c>
      <c r="F21">
        <v>16</v>
      </c>
      <c r="G21" s="4">
        <v>884536</v>
      </c>
      <c r="H21" s="4">
        <v>2327124</v>
      </c>
      <c r="I21">
        <v>512</v>
      </c>
      <c r="J21">
        <v>16</v>
      </c>
      <c r="K21" s="4">
        <v>910797</v>
      </c>
      <c r="L21" s="4">
        <v>2600470</v>
      </c>
      <c r="M21"/>
      <c r="N21"/>
    </row>
    <row r="22" spans="1:14" x14ac:dyDescent="0.3">
      <c r="A22">
        <v>512</v>
      </c>
      <c r="B22">
        <v>16</v>
      </c>
      <c r="C22" s="4">
        <v>872320</v>
      </c>
      <c r="D22" s="4">
        <v>2975154</v>
      </c>
      <c r="E22">
        <v>512</v>
      </c>
      <c r="F22">
        <v>16</v>
      </c>
      <c r="G22" s="4">
        <v>717069</v>
      </c>
      <c r="H22" s="4">
        <v>2337255</v>
      </c>
      <c r="I22">
        <v>512</v>
      </c>
      <c r="J22">
        <v>16</v>
      </c>
      <c r="K22" s="4">
        <v>827289</v>
      </c>
      <c r="L22" s="4">
        <v>3610395</v>
      </c>
      <c r="M22"/>
      <c r="N22"/>
    </row>
    <row r="23" spans="1:14" x14ac:dyDescent="0.3">
      <c r="A23">
        <v>4096</v>
      </c>
      <c r="B23">
        <v>16</v>
      </c>
      <c r="C23" s="4">
        <v>1303598</v>
      </c>
      <c r="D23" s="4">
        <v>3020473</v>
      </c>
      <c r="E23">
        <v>4096</v>
      </c>
      <c r="F23">
        <v>16</v>
      </c>
      <c r="G23" s="4">
        <v>779139</v>
      </c>
      <c r="H23" s="4">
        <v>2498960</v>
      </c>
      <c r="I23">
        <v>4096</v>
      </c>
      <c r="J23">
        <v>16</v>
      </c>
      <c r="K23" s="4">
        <v>1104970</v>
      </c>
      <c r="L23" s="4">
        <v>2890382</v>
      </c>
      <c r="M23"/>
    </row>
    <row r="24" spans="1:14" x14ac:dyDescent="0.3">
      <c r="A24">
        <v>4096</v>
      </c>
      <c r="B24">
        <v>16</v>
      </c>
      <c r="C24" s="4">
        <v>891589</v>
      </c>
      <c r="D24" s="4">
        <v>2748864</v>
      </c>
      <c r="E24">
        <v>4096</v>
      </c>
      <c r="F24">
        <v>16</v>
      </c>
      <c r="G24" s="4">
        <v>828112</v>
      </c>
      <c r="H24" s="4">
        <v>2625764</v>
      </c>
      <c r="I24">
        <v>4096</v>
      </c>
      <c r="J24">
        <v>16</v>
      </c>
      <c r="K24" s="4">
        <v>1029363</v>
      </c>
      <c r="L24" s="4">
        <v>3003050</v>
      </c>
      <c r="M24"/>
      <c r="N24"/>
    </row>
    <row r="25" spans="1:14" x14ac:dyDescent="0.3">
      <c r="A25">
        <v>4096</v>
      </c>
      <c r="B25">
        <v>16</v>
      </c>
      <c r="C25" s="4">
        <v>1071411</v>
      </c>
      <c r="D25" s="4">
        <v>2807716</v>
      </c>
      <c r="E25">
        <v>4096</v>
      </c>
      <c r="F25">
        <v>16</v>
      </c>
      <c r="G25" s="4">
        <v>777657</v>
      </c>
      <c r="H25" s="4">
        <v>2344796</v>
      </c>
      <c r="I25">
        <v>4096</v>
      </c>
      <c r="J25">
        <v>16</v>
      </c>
      <c r="K25" s="4">
        <v>1439235</v>
      </c>
      <c r="L25" s="4">
        <v>2850576</v>
      </c>
      <c r="M25"/>
      <c r="N25"/>
    </row>
    <row r="26" spans="1:14" x14ac:dyDescent="0.3">
      <c r="A26">
        <v>4096</v>
      </c>
      <c r="B26">
        <v>16</v>
      </c>
      <c r="C26" s="4">
        <v>1163253</v>
      </c>
      <c r="D26" s="4">
        <v>2854365</v>
      </c>
      <c r="E26">
        <v>4096</v>
      </c>
      <c r="F26">
        <v>16</v>
      </c>
      <c r="G26" s="4">
        <v>780626</v>
      </c>
      <c r="H26" s="4">
        <v>2266830</v>
      </c>
      <c r="I26">
        <v>4096</v>
      </c>
      <c r="J26">
        <v>16</v>
      </c>
      <c r="K26" s="4">
        <v>881796</v>
      </c>
      <c r="L26" s="4">
        <v>2076165</v>
      </c>
      <c r="M26"/>
      <c r="N26"/>
    </row>
    <row r="27" spans="1:14" x14ac:dyDescent="0.3">
      <c r="A27">
        <v>4096</v>
      </c>
      <c r="B27">
        <v>16</v>
      </c>
      <c r="C27" s="4">
        <v>1063913</v>
      </c>
      <c r="D27" s="4">
        <v>2824797</v>
      </c>
      <c r="E27">
        <v>4096</v>
      </c>
      <c r="F27">
        <v>16</v>
      </c>
      <c r="G27" s="4">
        <v>856731</v>
      </c>
      <c r="H27" s="4">
        <v>2389808</v>
      </c>
      <c r="I27">
        <v>4096</v>
      </c>
      <c r="J27">
        <v>16</v>
      </c>
      <c r="K27" s="4">
        <v>867634</v>
      </c>
      <c r="L27" s="4">
        <v>2762123</v>
      </c>
      <c r="M27"/>
      <c r="N27"/>
    </row>
    <row r="28" spans="1:14" x14ac:dyDescent="0.3">
      <c r="A28">
        <v>4096</v>
      </c>
      <c r="B28">
        <v>16</v>
      </c>
      <c r="C28" s="4">
        <v>1073352</v>
      </c>
      <c r="D28" s="4">
        <v>2890382</v>
      </c>
      <c r="E28">
        <v>4096</v>
      </c>
      <c r="F28">
        <v>16</v>
      </c>
      <c r="G28" s="4">
        <v>805968</v>
      </c>
      <c r="H28" s="4">
        <v>2330167</v>
      </c>
      <c r="I28">
        <v>4096</v>
      </c>
      <c r="J28">
        <v>16</v>
      </c>
      <c r="K28" s="4">
        <v>576741</v>
      </c>
      <c r="L28" s="4">
        <v>3160500</v>
      </c>
      <c r="M28"/>
      <c r="N28"/>
    </row>
    <row r="29" spans="1:14" x14ac:dyDescent="0.3">
      <c r="A29">
        <v>4096</v>
      </c>
      <c r="B29">
        <v>16</v>
      </c>
      <c r="C29" s="4">
        <v>955402</v>
      </c>
      <c r="D29" s="4">
        <v>3027393</v>
      </c>
      <c r="E29">
        <v>4096</v>
      </c>
      <c r="F29">
        <v>16</v>
      </c>
      <c r="G29" s="4">
        <v>837805</v>
      </c>
      <c r="H29" s="4">
        <v>2553562</v>
      </c>
      <c r="I29">
        <v>4096</v>
      </c>
      <c r="J29">
        <v>16</v>
      </c>
      <c r="K29" s="4">
        <v>1452498</v>
      </c>
      <c r="L29" s="4">
        <v>2363506</v>
      </c>
      <c r="M29"/>
      <c r="N29"/>
    </row>
    <row r="30" spans="1:14" x14ac:dyDescent="0.3">
      <c r="A30">
        <v>4096</v>
      </c>
      <c r="B30">
        <v>16</v>
      </c>
      <c r="C30" s="4">
        <v>1066356</v>
      </c>
      <c r="D30" s="4">
        <v>3027393</v>
      </c>
      <c r="E30">
        <v>4096</v>
      </c>
      <c r="F30">
        <v>16</v>
      </c>
      <c r="G30" s="4">
        <v>793497</v>
      </c>
      <c r="H30" s="4">
        <v>2840678</v>
      </c>
      <c r="I30">
        <v>4096</v>
      </c>
      <c r="J30">
        <v>16</v>
      </c>
      <c r="K30" s="4">
        <v>1338954</v>
      </c>
      <c r="L30" s="4">
        <v>2844440</v>
      </c>
      <c r="M30"/>
      <c r="N30"/>
    </row>
    <row r="31" spans="1:14" x14ac:dyDescent="0.3">
      <c r="A31">
        <v>4096</v>
      </c>
      <c r="B31">
        <v>16</v>
      </c>
      <c r="C31" s="4">
        <v>1139036</v>
      </c>
      <c r="D31" s="4">
        <v>3052133</v>
      </c>
      <c r="E31">
        <v>4096</v>
      </c>
      <c r="F31">
        <v>16</v>
      </c>
      <c r="G31" s="4">
        <v>817046</v>
      </c>
      <c r="H31" s="4">
        <v>2632201</v>
      </c>
      <c r="I31">
        <v>4096</v>
      </c>
      <c r="J31">
        <v>16</v>
      </c>
      <c r="K31" s="4">
        <v>1239367</v>
      </c>
      <c r="L31" s="4">
        <v>3605576</v>
      </c>
      <c r="M31"/>
      <c r="N31"/>
    </row>
    <row r="32" spans="1:14" x14ac:dyDescent="0.3">
      <c r="A32">
        <v>4096</v>
      </c>
      <c r="B32">
        <v>16</v>
      </c>
      <c r="C32" s="4">
        <v>1192069</v>
      </c>
      <c r="D32" s="4">
        <v>3031667</v>
      </c>
      <c r="E32">
        <v>4096</v>
      </c>
      <c r="F32">
        <v>16</v>
      </c>
      <c r="G32" s="4">
        <v>824812</v>
      </c>
      <c r="H32" s="4">
        <v>2610602</v>
      </c>
      <c r="I32">
        <v>4096</v>
      </c>
      <c r="J32">
        <v>16</v>
      </c>
      <c r="K32" s="4">
        <v>727011</v>
      </c>
      <c r="L32" s="4">
        <v>3700320</v>
      </c>
      <c r="M32"/>
      <c r="N32"/>
    </row>
    <row r="33" spans="1:21" x14ac:dyDescent="0.3">
      <c r="A33">
        <v>32768</v>
      </c>
      <c r="B33">
        <v>16</v>
      </c>
      <c r="C33" s="4">
        <v>1114519</v>
      </c>
      <c r="D33" s="4">
        <v>2514994</v>
      </c>
      <c r="E33">
        <v>32768</v>
      </c>
      <c r="F33">
        <v>16</v>
      </c>
      <c r="G33" s="4">
        <v>878637</v>
      </c>
      <c r="H33" s="4">
        <v>2308896</v>
      </c>
      <c r="I33">
        <v>32768</v>
      </c>
      <c r="J33">
        <v>16</v>
      </c>
      <c r="K33" s="4">
        <v>198586</v>
      </c>
      <c r="L33" s="4">
        <v>3055570</v>
      </c>
      <c r="M33"/>
    </row>
    <row r="34" spans="1:21" x14ac:dyDescent="0.3">
      <c r="A34">
        <v>32768</v>
      </c>
      <c r="B34">
        <v>16</v>
      </c>
      <c r="C34" s="4">
        <v>1183127</v>
      </c>
      <c r="D34" s="4">
        <v>2546872</v>
      </c>
      <c r="E34">
        <v>32768</v>
      </c>
      <c r="F34">
        <v>16</v>
      </c>
      <c r="G34" s="4">
        <v>883779</v>
      </c>
      <c r="H34" s="4">
        <v>2151827</v>
      </c>
      <c r="I34">
        <v>32768</v>
      </c>
      <c r="J34">
        <v>16</v>
      </c>
      <c r="K34" s="4">
        <v>1075912</v>
      </c>
      <c r="L34" s="4">
        <v>3080844</v>
      </c>
      <c r="M34"/>
      <c r="N34"/>
    </row>
    <row r="35" spans="1:21" x14ac:dyDescent="0.3">
      <c r="A35">
        <v>32768</v>
      </c>
      <c r="B35">
        <v>16</v>
      </c>
      <c r="C35" s="4">
        <v>1280350</v>
      </c>
      <c r="D35" s="4">
        <v>2268613</v>
      </c>
      <c r="E35">
        <v>32768</v>
      </c>
      <c r="F35">
        <v>16</v>
      </c>
      <c r="G35" s="4">
        <v>898541</v>
      </c>
      <c r="H35" s="4">
        <v>2078792</v>
      </c>
      <c r="I35">
        <v>32768</v>
      </c>
      <c r="J35">
        <v>16</v>
      </c>
      <c r="K35" s="4">
        <v>1093103</v>
      </c>
      <c r="L35" s="4">
        <v>2056244</v>
      </c>
      <c r="M35"/>
      <c r="N35"/>
    </row>
    <row r="36" spans="1:21" x14ac:dyDescent="0.3">
      <c r="A36">
        <v>32768</v>
      </c>
      <c r="B36">
        <v>16</v>
      </c>
      <c r="C36" s="4">
        <v>1128446</v>
      </c>
      <c r="D36" s="4">
        <v>2579327</v>
      </c>
      <c r="E36">
        <v>32768</v>
      </c>
      <c r="F36">
        <v>16</v>
      </c>
      <c r="G36" s="4">
        <v>878542</v>
      </c>
      <c r="H36" s="4">
        <v>2274281</v>
      </c>
      <c r="I36">
        <v>32768</v>
      </c>
      <c r="J36">
        <v>16</v>
      </c>
      <c r="K36" s="4">
        <v>1437378</v>
      </c>
      <c r="L36" s="4">
        <v>2664691</v>
      </c>
      <c r="M36"/>
      <c r="N36"/>
    </row>
    <row r="37" spans="1:21" x14ac:dyDescent="0.3">
      <c r="A37">
        <v>32768</v>
      </c>
      <c r="B37">
        <v>16</v>
      </c>
      <c r="C37" s="4">
        <v>1165825</v>
      </c>
      <c r="D37" s="4">
        <v>2497536</v>
      </c>
      <c r="E37">
        <v>32768</v>
      </c>
      <c r="F37">
        <v>16</v>
      </c>
      <c r="G37" s="4">
        <v>1174442</v>
      </c>
      <c r="H37" s="4">
        <v>2286046</v>
      </c>
      <c r="I37">
        <v>32768</v>
      </c>
      <c r="J37">
        <v>16</v>
      </c>
      <c r="K37" s="4">
        <v>1431479</v>
      </c>
      <c r="L37" s="4">
        <v>3155323</v>
      </c>
      <c r="M37"/>
      <c r="N37"/>
    </row>
    <row r="38" spans="1:21" x14ac:dyDescent="0.3">
      <c r="A38">
        <v>32768</v>
      </c>
      <c r="B38">
        <v>16</v>
      </c>
      <c r="C38" s="4">
        <v>1050725</v>
      </c>
      <c r="D38" s="4">
        <v>2571461</v>
      </c>
      <c r="E38">
        <v>32768</v>
      </c>
      <c r="F38">
        <v>16</v>
      </c>
      <c r="G38" s="4">
        <v>987109</v>
      </c>
      <c r="H38" s="4">
        <v>2196394</v>
      </c>
      <c r="I38">
        <v>32768</v>
      </c>
      <c r="J38">
        <v>16</v>
      </c>
      <c r="K38" s="4">
        <v>1404476</v>
      </c>
      <c r="L38" s="4">
        <v>2702734</v>
      </c>
      <c r="M38"/>
      <c r="N38"/>
    </row>
    <row r="39" spans="1:21" x14ac:dyDescent="0.3">
      <c r="A39">
        <v>32768</v>
      </c>
      <c r="B39">
        <v>16</v>
      </c>
      <c r="C39" s="4">
        <v>1364364</v>
      </c>
      <c r="D39" s="4">
        <v>2587680</v>
      </c>
      <c r="E39">
        <v>32768</v>
      </c>
      <c r="F39">
        <v>16</v>
      </c>
      <c r="G39" s="4">
        <v>871351</v>
      </c>
      <c r="H39" s="4">
        <v>2107416</v>
      </c>
      <c r="I39">
        <v>32768</v>
      </c>
      <c r="J39">
        <v>16</v>
      </c>
      <c r="K39" s="4">
        <v>1302901</v>
      </c>
      <c r="L39" s="4">
        <v>2589728</v>
      </c>
      <c r="M39"/>
      <c r="N39"/>
    </row>
    <row r="40" spans="1:21" x14ac:dyDescent="0.3">
      <c r="A40">
        <v>32768</v>
      </c>
      <c r="B40">
        <v>16</v>
      </c>
      <c r="C40" s="4">
        <v>1159354</v>
      </c>
      <c r="D40" s="4">
        <v>2389004</v>
      </c>
      <c r="E40">
        <v>32768</v>
      </c>
      <c r="F40">
        <v>16</v>
      </c>
      <c r="G40" s="4">
        <v>871075</v>
      </c>
      <c r="H40" s="4">
        <v>2196394</v>
      </c>
      <c r="I40">
        <v>32768</v>
      </c>
      <c r="J40">
        <v>16</v>
      </c>
      <c r="K40" s="4">
        <v>1420986</v>
      </c>
      <c r="L40" s="4">
        <v>2985414</v>
      </c>
      <c r="M40"/>
      <c r="N40"/>
    </row>
    <row r="41" spans="1:21" x14ac:dyDescent="0.3">
      <c r="A41">
        <v>32768</v>
      </c>
      <c r="B41">
        <v>16</v>
      </c>
      <c r="C41" s="4">
        <v>954862</v>
      </c>
      <c r="D41" s="4">
        <v>2334387</v>
      </c>
      <c r="E41">
        <v>32768</v>
      </c>
      <c r="F41">
        <v>16</v>
      </c>
      <c r="G41" s="4">
        <v>882621</v>
      </c>
      <c r="H41" s="4">
        <v>2279373</v>
      </c>
      <c r="I41">
        <v>32768</v>
      </c>
      <c r="J41">
        <v>16</v>
      </c>
      <c r="K41" s="4">
        <v>787088</v>
      </c>
      <c r="L41" s="4">
        <v>3017068</v>
      </c>
      <c r="M41"/>
    </row>
    <row r="42" spans="1:21" x14ac:dyDescent="0.3">
      <c r="A42">
        <v>32768</v>
      </c>
      <c r="B42">
        <v>16</v>
      </c>
      <c r="C42" s="4">
        <v>1161618</v>
      </c>
      <c r="D42" s="4">
        <v>2564216</v>
      </c>
      <c r="E42">
        <v>32768</v>
      </c>
      <c r="F42">
        <v>16</v>
      </c>
      <c r="G42" s="4">
        <v>959696</v>
      </c>
      <c r="H42" s="4">
        <v>2304367</v>
      </c>
      <c r="I42">
        <v>32768</v>
      </c>
      <c r="J42">
        <v>16</v>
      </c>
      <c r="K42" s="4">
        <v>1190743</v>
      </c>
      <c r="L42" s="4">
        <v>2390957</v>
      </c>
      <c r="M42"/>
    </row>
    <row r="43" spans="1:21" ht="15" thickBot="1" x14ac:dyDescent="0.35"/>
    <row r="44" spans="1:21" x14ac:dyDescent="0.3">
      <c r="B44" s="15"/>
      <c r="C44" s="60" t="s">
        <v>6</v>
      </c>
      <c r="D44" s="60"/>
      <c r="E44" s="60" t="s">
        <v>16</v>
      </c>
      <c r="F44" s="60"/>
      <c r="G44" s="60" t="s">
        <v>20</v>
      </c>
      <c r="H44" s="61"/>
      <c r="J44" s="62" t="s">
        <v>45</v>
      </c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</row>
    <row r="45" spans="1:21" x14ac:dyDescent="0.3">
      <c r="B45" s="19"/>
      <c r="C45" s="62" t="s">
        <v>12</v>
      </c>
      <c r="D45" s="62"/>
      <c r="E45" s="62" t="s">
        <v>12</v>
      </c>
      <c r="F45" s="62"/>
      <c r="G45" s="62" t="s">
        <v>12</v>
      </c>
      <c r="H45" s="63"/>
      <c r="J45" s="18"/>
      <c r="K45" s="18">
        <v>64</v>
      </c>
      <c r="L45" s="18"/>
      <c r="M45" s="18"/>
      <c r="N45" s="18">
        <v>512</v>
      </c>
      <c r="O45" s="18"/>
      <c r="P45" s="18"/>
      <c r="Q45" s="18" t="s">
        <v>28</v>
      </c>
      <c r="R45" s="18"/>
      <c r="S45" s="18"/>
      <c r="T45" s="18" t="s">
        <v>31</v>
      </c>
      <c r="U45" s="18"/>
    </row>
    <row r="46" spans="1:21" x14ac:dyDescent="0.3">
      <c r="B46" s="10"/>
      <c r="C46" s="9" t="s">
        <v>24</v>
      </c>
      <c r="D46" s="9" t="s">
        <v>25</v>
      </c>
      <c r="E46" s="9" t="s">
        <v>24</v>
      </c>
      <c r="F46" s="9" t="s">
        <v>25</v>
      </c>
      <c r="G46" s="9" t="s">
        <v>24</v>
      </c>
      <c r="H46" s="11" t="s">
        <v>25</v>
      </c>
      <c r="J46" s="41" t="s">
        <v>6</v>
      </c>
      <c r="K46" s="41" t="s">
        <v>36</v>
      </c>
      <c r="L46" s="41" t="s">
        <v>20</v>
      </c>
      <c r="M46" s="41" t="s">
        <v>6</v>
      </c>
      <c r="N46" s="41" t="s">
        <v>36</v>
      </c>
      <c r="O46" s="41" t="s">
        <v>20</v>
      </c>
      <c r="P46" s="41" t="s">
        <v>6</v>
      </c>
      <c r="Q46" s="41" t="s">
        <v>36</v>
      </c>
      <c r="R46" s="41" t="s">
        <v>20</v>
      </c>
      <c r="S46" s="41" t="s">
        <v>6</v>
      </c>
      <c r="T46" s="41" t="s">
        <v>36</v>
      </c>
      <c r="U46" s="41" t="s">
        <v>20</v>
      </c>
    </row>
    <row r="47" spans="1:21" x14ac:dyDescent="0.3">
      <c r="B47" s="10" t="s">
        <v>19</v>
      </c>
      <c r="C47" s="9">
        <f>MIN(C3:C12)</f>
        <v>443837</v>
      </c>
      <c r="D47" s="9">
        <f>MIN(D3:D12)</f>
        <v>2772930</v>
      </c>
      <c r="E47" s="9">
        <f>MIN(G3:G12)</f>
        <v>476959</v>
      </c>
      <c r="F47" s="9">
        <f>MIN(H3:H12)</f>
        <v>2278628</v>
      </c>
      <c r="G47" s="9">
        <f>MIN(K3:K12)</f>
        <v>503814</v>
      </c>
      <c r="H47" s="11">
        <f>MIN(L3:L12)</f>
        <v>1452528</v>
      </c>
      <c r="J47" s="9">
        <f>C47</f>
        <v>443837</v>
      </c>
      <c r="K47" s="9">
        <f>E47</f>
        <v>476959</v>
      </c>
      <c r="L47" s="9">
        <f>G47</f>
        <v>503814</v>
      </c>
      <c r="M47" s="9">
        <f>C55</f>
        <v>734482</v>
      </c>
      <c r="N47" s="9">
        <f>E55</f>
        <v>653762</v>
      </c>
      <c r="O47" s="9">
        <f>G55</f>
        <v>793951</v>
      </c>
      <c r="P47" s="9">
        <f>C63</f>
        <v>891589</v>
      </c>
      <c r="Q47" s="9">
        <f>E63</f>
        <v>777657</v>
      </c>
      <c r="R47" s="9">
        <f>G63</f>
        <v>576741</v>
      </c>
      <c r="S47" s="9">
        <f>C71</f>
        <v>954862</v>
      </c>
      <c r="T47" s="9">
        <f>E71</f>
        <v>871075</v>
      </c>
      <c r="U47" s="9">
        <f>G71</f>
        <v>198586</v>
      </c>
    </row>
    <row r="48" spans="1:21" x14ac:dyDescent="0.3">
      <c r="B48" s="10" t="s">
        <v>32</v>
      </c>
      <c r="C48" s="9">
        <f>_xlfn.QUARTILE.INC(C3:C12,1)</f>
        <v>555086.25</v>
      </c>
      <c r="D48" s="9">
        <f>_xlfn.QUARTILE.INC(D3:D12,1)</f>
        <v>2772930</v>
      </c>
      <c r="E48" s="9">
        <f>_xlfn.QUARTILE.INC(G3:G12,1)</f>
        <v>507625</v>
      </c>
      <c r="F48" s="9">
        <f>_xlfn.QUARTILE.INC(H3:H12,1)</f>
        <v>2490647.75</v>
      </c>
      <c r="G48" s="9">
        <f>_xlfn.QUARTILE.INC(K3:K12,1)</f>
        <v>634900.75</v>
      </c>
      <c r="H48" s="11">
        <f>_xlfn.QUARTILE.INC(L3:L12,1)</f>
        <v>3645546.5</v>
      </c>
      <c r="J48" s="9">
        <f>C48-C47</f>
        <v>111249.25</v>
      </c>
      <c r="K48" s="9">
        <f>E48-E47</f>
        <v>30666</v>
      </c>
      <c r="L48" s="9">
        <f>G48-G47</f>
        <v>131086.75</v>
      </c>
      <c r="M48" s="9">
        <f>C56-C55</f>
        <v>54169.5</v>
      </c>
      <c r="N48" s="9">
        <f>E56-E55</f>
        <v>61160.5</v>
      </c>
      <c r="O48" s="9">
        <f>G56-G55</f>
        <v>54215</v>
      </c>
      <c r="P48" s="9">
        <f>C64-C63</f>
        <v>172934.75</v>
      </c>
      <c r="Q48" s="9">
        <f>E64-E63</f>
        <v>6186.75</v>
      </c>
      <c r="R48" s="9">
        <f>G64-G63</f>
        <v>294433.5</v>
      </c>
      <c r="S48" s="9">
        <f>C72-C71</f>
        <v>163138.75</v>
      </c>
      <c r="T48" s="9">
        <f>E72-E71</f>
        <v>7490.75</v>
      </c>
      <c r="U48" s="9">
        <f>G72-G71</f>
        <v>881623.75</v>
      </c>
    </row>
    <row r="49" spans="2:21" x14ac:dyDescent="0.3">
      <c r="B49" s="10" t="s">
        <v>34</v>
      </c>
      <c r="C49" s="9">
        <f>_xlfn.QUARTILE.INC(C3:C12,2)</f>
        <v>670156.5</v>
      </c>
      <c r="D49" s="9">
        <f>_xlfn.QUARTILE.INC(D3:D12,2)</f>
        <v>2847159</v>
      </c>
      <c r="E49" s="9">
        <f>_xlfn.QUARTILE.INC(G3:G12,2)</f>
        <v>520577.5</v>
      </c>
      <c r="F49" s="9">
        <f>_xlfn.QUARTILE.INC(H3:H12,2)</f>
        <v>2561267</v>
      </c>
      <c r="G49" s="9">
        <f>_xlfn.QUARTILE.INC(K3:K12,2)</f>
        <v>696569.5</v>
      </c>
      <c r="H49" s="11">
        <f>_xlfn.QUARTILE.INC(L3:L12,2)</f>
        <v>4018152</v>
      </c>
      <c r="J49" s="9">
        <f>C49-C48</f>
        <v>115070.25</v>
      </c>
      <c r="K49" s="9">
        <f>E49-E48</f>
        <v>12952.5</v>
      </c>
      <c r="L49" s="9">
        <f>G49-G48</f>
        <v>61668.75</v>
      </c>
      <c r="M49" s="9">
        <f>C57-C56</f>
        <v>206142</v>
      </c>
      <c r="N49" s="9">
        <f>E57-E56</f>
        <v>35409.5</v>
      </c>
      <c r="O49" s="9">
        <f>G57-G56</f>
        <v>281422.5</v>
      </c>
      <c r="P49" s="9">
        <f>C65-C64</f>
        <v>7857.75</v>
      </c>
      <c r="Q49" s="9">
        <f>E65-E64</f>
        <v>27663.25</v>
      </c>
      <c r="R49" s="9">
        <f>G65-G64</f>
        <v>195992</v>
      </c>
      <c r="S49" s="9">
        <f>C73-C72</f>
        <v>42485.25</v>
      </c>
      <c r="T49" s="9">
        <f>E73-E72</f>
        <v>4634.25</v>
      </c>
      <c r="U49" s="9">
        <f>G73-G72</f>
        <v>166612.25</v>
      </c>
    </row>
    <row r="50" spans="2:21" x14ac:dyDescent="0.3">
      <c r="B50" s="10" t="s">
        <v>44</v>
      </c>
      <c r="C50" s="9">
        <f>_xlfn.QUARTILE.INC(C3:C12,3)</f>
        <v>693993.25</v>
      </c>
      <c r="D50" s="9">
        <f>_xlfn.QUARTILE.INC(D3:D12,3)</f>
        <v>3023852.75</v>
      </c>
      <c r="E50" s="9">
        <f>_xlfn.QUARTILE.INC(G3:G12,3)</f>
        <v>574778.5</v>
      </c>
      <c r="F50" s="9">
        <f>_xlfn.QUARTILE.INC(H3:H12,3)</f>
        <v>2662899</v>
      </c>
      <c r="G50" s="9">
        <f>_xlfn.QUARTILE.INC(K3:K12,3)</f>
        <v>735328</v>
      </c>
      <c r="H50" s="11">
        <f>_xlfn.QUARTILE.INC(L3:L12,3)</f>
        <v>4274062</v>
      </c>
      <c r="J50" s="9">
        <f>C50-C49</f>
        <v>23836.75</v>
      </c>
      <c r="K50" s="9">
        <f>E50-E49</f>
        <v>54201</v>
      </c>
      <c r="L50" s="9">
        <f>G50-G49</f>
        <v>38758.5</v>
      </c>
      <c r="M50" s="9">
        <f>C58-C57</f>
        <v>95490.5</v>
      </c>
      <c r="N50" s="9">
        <f>E58-E57</f>
        <v>125973.25</v>
      </c>
      <c r="O50" s="9">
        <f>G58-G57</f>
        <v>69289.25</v>
      </c>
      <c r="P50" s="9">
        <f>C66-C65</f>
        <v>84817.25</v>
      </c>
      <c r="Q50" s="9">
        <f>E66-E65</f>
        <v>15780</v>
      </c>
      <c r="R50" s="9">
        <f>G66-G65</f>
        <v>246890.75</v>
      </c>
      <c r="S50" s="9">
        <f>C74-C73</f>
        <v>18315.5</v>
      </c>
      <c r="T50" s="9">
        <f>E74-E73</f>
        <v>61207.25</v>
      </c>
      <c r="U50" s="9">
        <f>G74-G73</f>
        <v>170036.5</v>
      </c>
    </row>
    <row r="51" spans="2:21" x14ac:dyDescent="0.3">
      <c r="B51" s="10" t="s">
        <v>18</v>
      </c>
      <c r="C51" s="9">
        <f>MAX(C3:C12)</f>
        <v>763021</v>
      </c>
      <c r="D51" s="9">
        <f>MAX(D3:D12)</f>
        <v>3363612</v>
      </c>
      <c r="E51" s="9">
        <f>MAX(G3:G12)</f>
        <v>608965</v>
      </c>
      <c r="F51" s="9">
        <f>MAX(H3:H12)</f>
        <v>2689580</v>
      </c>
      <c r="G51" s="9">
        <f>MAX(K3:K12)</f>
        <v>799377</v>
      </c>
      <c r="H51" s="11">
        <f>MAX(L3:L12)</f>
        <v>4564786</v>
      </c>
      <c r="J51" s="9">
        <f>C51-C50</f>
        <v>69027.75</v>
      </c>
      <c r="K51" s="9">
        <f>E51-E50</f>
        <v>34186.5</v>
      </c>
      <c r="L51" s="9">
        <f>G51-G50</f>
        <v>64049</v>
      </c>
      <c r="M51" s="9">
        <f>C59-C58</f>
        <v>47271</v>
      </c>
      <c r="N51" s="9">
        <f>E59-E58</f>
        <v>12624.75</v>
      </c>
      <c r="O51" s="9">
        <f>G59-G58</f>
        <v>107531.25</v>
      </c>
      <c r="P51" s="9">
        <f>C67-C66</f>
        <v>146399.25</v>
      </c>
      <c r="Q51" s="9">
        <f>E67-E66</f>
        <v>29444</v>
      </c>
      <c r="R51" s="9">
        <f>G67-G66</f>
        <v>138440.75</v>
      </c>
      <c r="S51" s="9">
        <f>C75-C74</f>
        <v>185562.5</v>
      </c>
      <c r="T51" s="9">
        <f>E75-E74</f>
        <v>230034.75</v>
      </c>
      <c r="U51" s="9">
        <f>G75-G74</f>
        <v>20519.5</v>
      </c>
    </row>
    <row r="52" spans="2:21" x14ac:dyDescent="0.3">
      <c r="B52" s="12" t="s">
        <v>5</v>
      </c>
      <c r="C52" s="9">
        <f>_xlfn.STDEV.P(C3:C12)</f>
        <v>94134.766807805921</v>
      </c>
      <c r="D52" s="9">
        <f>_xlfn.STDEV.P(D3:D12)</f>
        <v>183206.46816463658</v>
      </c>
      <c r="E52" s="9">
        <f>_xlfn.STDEV.P(G3:G12)</f>
        <v>43105.036169338731</v>
      </c>
      <c r="F52" s="9">
        <f>_xlfn.STDEV.P(H3:H12)</f>
        <v>120385.03394259604</v>
      </c>
      <c r="G52" s="9">
        <f>_xlfn.STDEV.P(K3:K12)</f>
        <v>91161.869089493775</v>
      </c>
      <c r="H52" s="11">
        <f>_xlfn.STDEV.P(L3:L12)</f>
        <v>975268.58361327322</v>
      </c>
      <c r="J52" s="8"/>
      <c r="K52" s="8"/>
      <c r="L52" s="8"/>
      <c r="M52" s="9"/>
      <c r="N52" s="9"/>
      <c r="O52" s="8"/>
      <c r="P52" s="8"/>
      <c r="Q52" s="8"/>
      <c r="R52" s="8"/>
      <c r="S52" s="8"/>
      <c r="T52" s="8"/>
      <c r="U52" s="8"/>
    </row>
    <row r="53" spans="2:21" x14ac:dyDescent="0.3">
      <c r="B53" s="19"/>
      <c r="C53" s="62" t="s">
        <v>13</v>
      </c>
      <c r="D53" s="62"/>
      <c r="E53" s="62" t="s">
        <v>13</v>
      </c>
      <c r="F53" s="62"/>
      <c r="G53" s="62" t="s">
        <v>13</v>
      </c>
      <c r="H53" s="63"/>
      <c r="J53" s="62" t="s">
        <v>46</v>
      </c>
      <c r="K53" s="62"/>
      <c r="L53" s="62"/>
      <c r="M53" s="62"/>
      <c r="N53" s="62"/>
      <c r="O53" s="62"/>
      <c r="P53" s="62"/>
      <c r="Q53" s="62"/>
      <c r="R53" s="62"/>
      <c r="S53" s="62"/>
      <c r="T53" s="62"/>
      <c r="U53" s="62"/>
    </row>
    <row r="54" spans="2:21" x14ac:dyDescent="0.3">
      <c r="B54" s="10"/>
      <c r="C54" s="9" t="s">
        <v>24</v>
      </c>
      <c r="D54" s="9" t="s">
        <v>25</v>
      </c>
      <c r="E54" s="9" t="s">
        <v>24</v>
      </c>
      <c r="F54" s="9" t="s">
        <v>25</v>
      </c>
      <c r="G54" s="9" t="s">
        <v>24</v>
      </c>
      <c r="H54" s="11" t="s">
        <v>25</v>
      </c>
      <c r="J54" s="18"/>
      <c r="K54" s="18">
        <v>64</v>
      </c>
      <c r="L54" s="18"/>
      <c r="M54" s="18"/>
      <c r="N54" s="18">
        <v>512</v>
      </c>
      <c r="O54" s="18"/>
      <c r="P54" s="18"/>
      <c r="Q54" s="18" t="s">
        <v>28</v>
      </c>
      <c r="R54" s="18"/>
      <c r="S54" s="18"/>
      <c r="T54" s="18" t="s">
        <v>31</v>
      </c>
      <c r="U54" s="18"/>
    </row>
    <row r="55" spans="2:21" x14ac:dyDescent="0.3">
      <c r="B55" s="10" t="s">
        <v>19</v>
      </c>
      <c r="C55" s="9">
        <f>MIN(C13:C22)</f>
        <v>734482</v>
      </c>
      <c r="D55" s="9">
        <f>MIN(D13:D22)</f>
        <v>2449212</v>
      </c>
      <c r="E55" s="9">
        <f>MIN(G13:G22)</f>
        <v>653762</v>
      </c>
      <c r="F55" s="9">
        <f>MIN(H13:H22)</f>
        <v>1795846</v>
      </c>
      <c r="G55" s="9">
        <f>MIN(K13:K22)</f>
        <v>793951</v>
      </c>
      <c r="H55" s="11">
        <f>MIN(L13:L22)</f>
        <v>2600470</v>
      </c>
      <c r="J55" s="41" t="s">
        <v>6</v>
      </c>
      <c r="K55" s="41" t="s">
        <v>36</v>
      </c>
      <c r="L55" s="41" t="s">
        <v>20</v>
      </c>
      <c r="M55" s="41" t="s">
        <v>6</v>
      </c>
      <c r="N55" s="41" t="s">
        <v>36</v>
      </c>
      <c r="O55" s="41" t="s">
        <v>20</v>
      </c>
      <c r="P55" s="41" t="s">
        <v>6</v>
      </c>
      <c r="Q55" s="41" t="s">
        <v>36</v>
      </c>
      <c r="R55" s="41" t="s">
        <v>20</v>
      </c>
      <c r="S55" s="41" t="s">
        <v>6</v>
      </c>
      <c r="T55" s="41" t="s">
        <v>36</v>
      </c>
      <c r="U55" s="41" t="s">
        <v>20</v>
      </c>
    </row>
    <row r="56" spans="2:21" x14ac:dyDescent="0.3">
      <c r="B56" s="10" t="s">
        <v>32</v>
      </c>
      <c r="C56" s="9">
        <f>_xlfn.QUARTILE.INC(C13:C22,1)</f>
        <v>788651.5</v>
      </c>
      <c r="D56" s="9">
        <f>_xlfn.QUARTILE.INC(D13:D22,1)</f>
        <v>2983490</v>
      </c>
      <c r="E56" s="9">
        <f>_xlfn.QUARTILE.INC(G13:G22,1)</f>
        <v>714922.5</v>
      </c>
      <c r="F56" s="9">
        <f>_xlfn.QUARTILE.INC(H13:H22,1)</f>
        <v>2329656.75</v>
      </c>
      <c r="G56" s="9">
        <f>_xlfn.QUARTILE.INC(K13:K22,1)</f>
        <v>848166</v>
      </c>
      <c r="H56" s="11">
        <f>_xlfn.QUARTILE.INC(L13:L22,1)</f>
        <v>3318940.25</v>
      </c>
      <c r="J56" s="9">
        <f>D47</f>
        <v>2772930</v>
      </c>
      <c r="K56" s="9">
        <f>F47</f>
        <v>2278628</v>
      </c>
      <c r="L56" s="9">
        <f>H47</f>
        <v>1452528</v>
      </c>
      <c r="M56" s="9">
        <f>D55</f>
        <v>2449212</v>
      </c>
      <c r="N56" s="9">
        <f>F55</f>
        <v>1795846</v>
      </c>
      <c r="O56" s="9">
        <f>H55</f>
        <v>2600470</v>
      </c>
      <c r="P56" s="9">
        <f>D63</f>
        <v>2748864</v>
      </c>
      <c r="Q56" s="9">
        <f>F63</f>
        <v>2266830</v>
      </c>
      <c r="R56" s="9">
        <f>H63</f>
        <v>2076165</v>
      </c>
      <c r="S56" s="9">
        <f>D71</f>
        <v>2268613</v>
      </c>
      <c r="T56" s="9">
        <f>F71</f>
        <v>2078792</v>
      </c>
      <c r="U56" s="9">
        <f>H71</f>
        <v>2056244</v>
      </c>
    </row>
    <row r="57" spans="2:21" x14ac:dyDescent="0.3">
      <c r="B57" s="10" t="s">
        <v>34</v>
      </c>
      <c r="C57" s="9">
        <f>_xlfn.QUARTILE.INC(C13:C22,2)</f>
        <v>994793.5</v>
      </c>
      <c r="D57" s="9">
        <f>_xlfn.QUARTILE.INC(D13:D22,2)</f>
        <v>3038318</v>
      </c>
      <c r="E57" s="9">
        <f>_xlfn.QUARTILE.INC(G13:G22,2)</f>
        <v>750332</v>
      </c>
      <c r="F57" s="9">
        <f>_xlfn.QUARTILE.INC(H13:H22,2)</f>
        <v>2416773.5</v>
      </c>
      <c r="G57" s="9">
        <f>_xlfn.QUARTILE.INC(K13:K22,2)</f>
        <v>1129588.5</v>
      </c>
      <c r="H57" s="11">
        <f>_xlfn.QUARTILE.INC(L13:L22,2)</f>
        <v>3610395</v>
      </c>
      <c r="J57" s="9">
        <f>D48-D47</f>
        <v>0</v>
      </c>
      <c r="K57" s="9">
        <f>F48-F47</f>
        <v>212019.75</v>
      </c>
      <c r="L57" s="9">
        <f>H48-H47</f>
        <v>2193018.5</v>
      </c>
      <c r="M57" s="9">
        <f>D56-D55</f>
        <v>534278</v>
      </c>
      <c r="N57" s="9">
        <f>F56-F55</f>
        <v>533810.75</v>
      </c>
      <c r="O57" s="9">
        <f>H56-H55</f>
        <v>718470.25</v>
      </c>
      <c r="P57" s="9">
        <f>D64-D63</f>
        <v>83325</v>
      </c>
      <c r="Q57" s="9">
        <f>F64-F63</f>
        <v>89219</v>
      </c>
      <c r="R57" s="9">
        <f>H64-H63</f>
        <v>706537.25</v>
      </c>
      <c r="S57" s="9">
        <f>D72-D71</f>
        <v>147524</v>
      </c>
      <c r="T57" s="9">
        <f>F72-F71</f>
        <v>84176.75</v>
      </c>
      <c r="U57" s="9">
        <f>H72-H71</f>
        <v>552224.75</v>
      </c>
    </row>
    <row r="58" spans="2:21" x14ac:dyDescent="0.3">
      <c r="B58" s="10" t="s">
        <v>44</v>
      </c>
      <c r="C58" s="9">
        <f>_xlfn.QUARTILE.INC(C13:C22,3)</f>
        <v>1090284</v>
      </c>
      <c r="D58" s="9">
        <f>_xlfn.QUARTILE.INC(D13:D22,3)</f>
        <v>3274595</v>
      </c>
      <c r="E58" s="9">
        <f>_xlfn.QUARTILE.INC(G13:G22,3)</f>
        <v>876305.25</v>
      </c>
      <c r="F58" s="9">
        <f>_xlfn.QUARTILE.INC(H13:H22,3)</f>
        <v>2664206.25</v>
      </c>
      <c r="G58" s="9">
        <f>_xlfn.QUARTILE.INC(K13:K22,3)</f>
        <v>1198877.75</v>
      </c>
      <c r="H58" s="11">
        <f>_xlfn.QUARTILE.INC(L13:L22,3)</f>
        <v>4130552</v>
      </c>
      <c r="J58" s="9">
        <f>D49-D48</f>
        <v>74229</v>
      </c>
      <c r="K58" s="9">
        <f>F49-F48</f>
        <v>70619.25</v>
      </c>
      <c r="L58" s="9">
        <f>H49-H48</f>
        <v>372605.5</v>
      </c>
      <c r="M58" s="9">
        <f>D57-D56</f>
        <v>54828</v>
      </c>
      <c r="N58" s="9">
        <f>F57-F56</f>
        <v>87116.75</v>
      </c>
      <c r="O58" s="9">
        <f>H57-H56</f>
        <v>291454.75</v>
      </c>
      <c r="P58" s="9">
        <f>D65-D64</f>
        <v>123238.5</v>
      </c>
      <c r="Q58" s="9">
        <f>F65-F64</f>
        <v>170212</v>
      </c>
      <c r="R58" s="9">
        <f>H65-H64</f>
        <v>87776.75</v>
      </c>
      <c r="S58" s="9">
        <f>D73-D72</f>
        <v>114796</v>
      </c>
      <c r="T58" s="9">
        <f>F73-F72</f>
        <v>72368.75</v>
      </c>
      <c r="U58" s="9">
        <f>H73-H72</f>
        <v>235605.25</v>
      </c>
    </row>
    <row r="59" spans="2:21" x14ac:dyDescent="0.3">
      <c r="B59" s="10" t="s">
        <v>18</v>
      </c>
      <c r="C59" s="9">
        <f>MAX(C13:C22)</f>
        <v>1137555</v>
      </c>
      <c r="D59" s="9">
        <f>MAX(D13:D22)</f>
        <v>3388236</v>
      </c>
      <c r="E59" s="9">
        <f>MAX(G13:G22)</f>
        <v>888930</v>
      </c>
      <c r="F59" s="9">
        <f>MAX(H13:H22)</f>
        <v>2979282</v>
      </c>
      <c r="G59" s="9">
        <f>MAX(K13:K22)</f>
        <v>1306409</v>
      </c>
      <c r="H59" s="11">
        <f>MAX(L13:L22)</f>
        <v>4411377</v>
      </c>
      <c r="J59" s="9">
        <f>D50-D49</f>
        <v>176693.75</v>
      </c>
      <c r="K59" s="9">
        <f>F50-F49</f>
        <v>101632</v>
      </c>
      <c r="L59" s="9">
        <f>H50-H49</f>
        <v>255910</v>
      </c>
      <c r="M59" s="9">
        <f>D58-D57</f>
        <v>236277</v>
      </c>
      <c r="N59" s="9">
        <f>F58-F57</f>
        <v>247432.75</v>
      </c>
      <c r="O59" s="9">
        <f>H58-H57</f>
        <v>520157</v>
      </c>
      <c r="P59" s="9">
        <f>D66-D65</f>
        <v>71965.5</v>
      </c>
      <c r="Q59" s="9">
        <f>F66-F65</f>
        <v>95712.5</v>
      </c>
      <c r="R59" s="9">
        <f>H66-H65</f>
        <v>250658.5</v>
      </c>
      <c r="S59" s="9">
        <f>D74-D73</f>
        <v>38716.75</v>
      </c>
      <c r="T59" s="9">
        <f>F74-F73</f>
        <v>49040.25</v>
      </c>
      <c r="U59" s="9">
        <f>H74-H73</f>
        <v>201870.5</v>
      </c>
    </row>
    <row r="60" spans="2:21" x14ac:dyDescent="0.3">
      <c r="B60" s="12" t="s">
        <v>5</v>
      </c>
      <c r="C60" s="9">
        <f>_xlfn.STDEV.P(C13:C22)</f>
        <v>149091.12426730842</v>
      </c>
      <c r="D60" s="9">
        <f>_xlfn.STDEV.P(D13:D22)</f>
        <v>255506.08776404918</v>
      </c>
      <c r="E60" s="9">
        <f>_xlfn.STDEV.P(G13:G22)</f>
        <v>88514.715131214194</v>
      </c>
      <c r="F60" s="9">
        <f>_xlfn.STDEV.P(H13:H22)</f>
        <v>303243.63957979402</v>
      </c>
      <c r="G60" s="9">
        <f>_xlfn.STDEV.P(K13:K22)</f>
        <v>183196.55729800166</v>
      </c>
      <c r="H60" s="11">
        <f>_xlfn.STDEV.P(L13:L22)</f>
        <v>541733.98532383039</v>
      </c>
      <c r="J60" s="9">
        <f>D51-D50</f>
        <v>339759.25</v>
      </c>
      <c r="K60" s="9">
        <f>F51-F50</f>
        <v>26681</v>
      </c>
      <c r="L60" s="9">
        <f>H51-H50</f>
        <v>290724</v>
      </c>
      <c r="M60" s="9">
        <f>D59-D58</f>
        <v>113641</v>
      </c>
      <c r="N60" s="9">
        <f>F59-F58</f>
        <v>315075.75</v>
      </c>
      <c r="O60" s="9">
        <f>H59-H58</f>
        <v>280825</v>
      </c>
      <c r="P60" s="9">
        <f>D67-D66</f>
        <v>24740</v>
      </c>
      <c r="Q60" s="9">
        <f>F67-F66</f>
        <v>218704.5</v>
      </c>
      <c r="R60" s="9">
        <f>H67-H66</f>
        <v>579182.5</v>
      </c>
      <c r="S60" s="9">
        <f>D75-D74</f>
        <v>18030.25</v>
      </c>
      <c r="T60" s="9">
        <f>F75-F74</f>
        <v>24518.25</v>
      </c>
      <c r="U60" s="9">
        <f>H75-H74</f>
        <v>109378.5</v>
      </c>
    </row>
    <row r="61" spans="2:21" x14ac:dyDescent="0.3">
      <c r="B61" s="19"/>
      <c r="C61" s="62" t="s">
        <v>14</v>
      </c>
      <c r="D61" s="62"/>
      <c r="E61" s="62" t="s">
        <v>14</v>
      </c>
      <c r="F61" s="62"/>
      <c r="G61" s="62" t="s">
        <v>14</v>
      </c>
      <c r="H61" s="63"/>
    </row>
    <row r="62" spans="2:21" x14ac:dyDescent="0.3">
      <c r="B62" s="10"/>
      <c r="C62" s="9" t="s">
        <v>24</v>
      </c>
      <c r="D62" s="9" t="s">
        <v>25</v>
      </c>
      <c r="E62" s="9" t="s">
        <v>24</v>
      </c>
      <c r="F62" s="9" t="s">
        <v>25</v>
      </c>
      <c r="G62" s="9" t="s">
        <v>24</v>
      </c>
      <c r="H62" s="11" t="s">
        <v>25</v>
      </c>
    </row>
    <row r="63" spans="2:21" x14ac:dyDescent="0.3">
      <c r="B63" s="10" t="s">
        <v>19</v>
      </c>
      <c r="C63" s="9">
        <f>MIN(C23:C32)</f>
        <v>891589</v>
      </c>
      <c r="D63" s="9">
        <f>MIN(D23:D32)</f>
        <v>2748864</v>
      </c>
      <c r="E63" s="9">
        <f>MIN(G23:G32)</f>
        <v>777657</v>
      </c>
      <c r="F63" s="9">
        <f>MIN(H23:H32)</f>
        <v>2266830</v>
      </c>
      <c r="G63" s="9">
        <f>MIN(K23:K32)</f>
        <v>576741</v>
      </c>
      <c r="H63" s="11">
        <f>MIN(L23:L32)</f>
        <v>2076165</v>
      </c>
    </row>
    <row r="64" spans="2:21" x14ac:dyDescent="0.3">
      <c r="B64" s="10" t="s">
        <v>32</v>
      </c>
      <c r="C64" s="9">
        <f>_xlfn.QUARTILE.INC(C23:C32,1)</f>
        <v>1064523.75</v>
      </c>
      <c r="D64" s="9">
        <f>_xlfn.QUARTILE.INC(D23:D32,1)</f>
        <v>2832189</v>
      </c>
      <c r="E64" s="9">
        <f>_xlfn.QUARTILE.INC(G23:G32,1)</f>
        <v>783843.75</v>
      </c>
      <c r="F64" s="9">
        <f>_xlfn.QUARTILE.INC(H23:H32,1)</f>
        <v>2356049</v>
      </c>
      <c r="G64" s="9">
        <f>_xlfn.QUARTILE.INC(K23:K32,1)</f>
        <v>871174.5</v>
      </c>
      <c r="H64" s="11">
        <f>_xlfn.QUARTILE.INC(L23:L32,1)</f>
        <v>2782702.25</v>
      </c>
    </row>
    <row r="65" spans="2:14" x14ac:dyDescent="0.3">
      <c r="B65" s="10" t="s">
        <v>34</v>
      </c>
      <c r="C65" s="9">
        <f>_xlfn.QUARTILE.INC(C23:C32,2)</f>
        <v>1072381.5</v>
      </c>
      <c r="D65" s="9">
        <f>_xlfn.QUARTILE.INC(D23:D32,2)</f>
        <v>2955427.5</v>
      </c>
      <c r="E65" s="9">
        <f>_xlfn.QUARTILE.INC(G23:G32,2)</f>
        <v>811507</v>
      </c>
      <c r="F65" s="9">
        <f>_xlfn.QUARTILE.INC(H23:H32,2)</f>
        <v>2526261</v>
      </c>
      <c r="G65" s="9">
        <f>_xlfn.QUARTILE.INC(K23:K32,2)</f>
        <v>1067166.5</v>
      </c>
      <c r="H65" s="11">
        <f>_xlfn.QUARTILE.INC(L23:L32,2)</f>
        <v>2870479</v>
      </c>
    </row>
    <row r="66" spans="2:14" x14ac:dyDescent="0.3">
      <c r="B66" s="10" t="s">
        <v>44</v>
      </c>
      <c r="C66" s="9">
        <f>_xlfn.QUARTILE.INC(C23:C32,3)</f>
        <v>1157198.75</v>
      </c>
      <c r="D66" s="9">
        <f>_xlfn.QUARTILE.INC(D23:D32,3)</f>
        <v>3027393</v>
      </c>
      <c r="E66" s="9">
        <f>_xlfn.QUARTILE.INC(G23:G32,3)</f>
        <v>827287</v>
      </c>
      <c r="F66" s="9">
        <f>_xlfn.QUARTILE.INC(H23:H32,3)</f>
        <v>2621973.5</v>
      </c>
      <c r="G66" s="9">
        <f>_xlfn.QUARTILE.INC(K23:K32,3)</f>
        <v>1314057.25</v>
      </c>
      <c r="H66" s="11">
        <f>_xlfn.QUARTILE.INC(L23:L32,3)</f>
        <v>3121137.5</v>
      </c>
    </row>
    <row r="67" spans="2:14" x14ac:dyDescent="0.3">
      <c r="B67" s="10" t="s">
        <v>18</v>
      </c>
      <c r="C67" s="9">
        <f>MAX(C23:C32)</f>
        <v>1303598</v>
      </c>
      <c r="D67" s="9">
        <f>MAX(D23:D32)</f>
        <v>3052133</v>
      </c>
      <c r="E67" s="9">
        <f>MAX(G23:G32)</f>
        <v>856731</v>
      </c>
      <c r="F67" s="9">
        <f>MAX(H23:H32)</f>
        <v>2840678</v>
      </c>
      <c r="G67" s="9">
        <f>MAX(K23:K32)</f>
        <v>1452498</v>
      </c>
      <c r="H67" s="11">
        <f>MAX(L23:L32)</f>
        <v>3700320</v>
      </c>
    </row>
    <row r="68" spans="2:14" x14ac:dyDescent="0.3">
      <c r="B68" s="12" t="s">
        <v>5</v>
      </c>
      <c r="C68" s="9">
        <f>_xlfn.STDEV.P(C23:C32)</f>
        <v>110958.83258258444</v>
      </c>
      <c r="D68" s="9">
        <f>_xlfn.STDEV.P(D23:D32)</f>
        <v>108861.55812135889</v>
      </c>
      <c r="E68" s="9">
        <f>_xlfn.STDEV.P(G23:G32)</f>
        <v>25891.514486603523</v>
      </c>
      <c r="F68" s="9">
        <f>_xlfn.STDEV.P(H23:H32)</f>
        <v>168234.43659239329</v>
      </c>
      <c r="G68" s="9">
        <f>_xlfn.STDEV.P(K23:K32)</f>
        <v>286997.12655371655</v>
      </c>
      <c r="H68" s="11">
        <f>_xlfn.STDEV.P(L23:L32)</f>
        <v>469191.32324261923</v>
      </c>
    </row>
    <row r="69" spans="2:14" x14ac:dyDescent="0.3">
      <c r="B69" s="19"/>
      <c r="C69" s="62" t="s">
        <v>15</v>
      </c>
      <c r="D69" s="62"/>
      <c r="E69" s="62" t="s">
        <v>15</v>
      </c>
      <c r="F69" s="62"/>
      <c r="G69" s="62" t="s">
        <v>15</v>
      </c>
      <c r="H69" s="63"/>
      <c r="M69"/>
      <c r="N69"/>
    </row>
    <row r="70" spans="2:14" x14ac:dyDescent="0.3">
      <c r="B70" s="10"/>
      <c r="C70" s="9" t="s">
        <v>24</v>
      </c>
      <c r="D70" s="9" t="s">
        <v>25</v>
      </c>
      <c r="E70" s="9" t="s">
        <v>24</v>
      </c>
      <c r="F70" s="9" t="s">
        <v>25</v>
      </c>
      <c r="G70" s="9" t="s">
        <v>24</v>
      </c>
      <c r="H70" s="11" t="s">
        <v>25</v>
      </c>
      <c r="M70"/>
      <c r="N70"/>
    </row>
    <row r="71" spans="2:14" x14ac:dyDescent="0.3">
      <c r="B71" s="10" t="s">
        <v>19</v>
      </c>
      <c r="C71" s="9">
        <f>MIN(C33:C42)</f>
        <v>954862</v>
      </c>
      <c r="D71" s="9">
        <f>MIN(D33:D42)</f>
        <v>2268613</v>
      </c>
      <c r="E71" s="9">
        <f>MIN(G33:G42)</f>
        <v>871075</v>
      </c>
      <c r="F71" s="9">
        <f>MIN(H33:H42)</f>
        <v>2078792</v>
      </c>
      <c r="G71" s="9">
        <f>MIN(K33:K42)</f>
        <v>198586</v>
      </c>
      <c r="H71" s="11">
        <f>MIN(L33:L42)</f>
        <v>2056244</v>
      </c>
      <c r="M71"/>
      <c r="N71"/>
    </row>
    <row r="72" spans="2:14" x14ac:dyDescent="0.3">
      <c r="B72" s="10" t="s">
        <v>32</v>
      </c>
      <c r="C72" s="9">
        <f>_xlfn.QUARTILE.INC(C33:C42,1)</f>
        <v>1118000.75</v>
      </c>
      <c r="D72" s="9">
        <f>_xlfn.QUARTILE.INC(D33:D42,1)</f>
        <v>2416137</v>
      </c>
      <c r="E72" s="9">
        <f>_xlfn.QUARTILE.INC(G33:G42,1)</f>
        <v>878565.75</v>
      </c>
      <c r="F72" s="9">
        <f>_xlfn.QUARTILE.INC(H33:H42,1)</f>
        <v>2162968.75</v>
      </c>
      <c r="G72" s="9">
        <f>_xlfn.QUARTILE.INC(K33:K42,1)</f>
        <v>1080209.75</v>
      </c>
      <c r="H72" s="11">
        <f>_xlfn.QUARTILE.INC(L33:L42,1)</f>
        <v>2608468.75</v>
      </c>
      <c r="M72"/>
      <c r="N72"/>
    </row>
    <row r="73" spans="2:14" x14ac:dyDescent="0.3">
      <c r="B73" s="10" t="s">
        <v>34</v>
      </c>
      <c r="C73" s="9">
        <f>_xlfn.QUARTILE.INC(C33:C42,2)</f>
        <v>1160486</v>
      </c>
      <c r="D73" s="9">
        <f>_xlfn.QUARTILE.INC(D33:D42,2)</f>
        <v>2530933</v>
      </c>
      <c r="E73" s="9">
        <f>_xlfn.QUARTILE.INC(G33:G42,2)</f>
        <v>883200</v>
      </c>
      <c r="F73" s="9">
        <f>_xlfn.QUARTILE.INC(H33:H42,2)</f>
        <v>2235337.5</v>
      </c>
      <c r="G73" s="9">
        <f>_xlfn.QUARTILE.INC(K33:K42,2)</f>
        <v>1246822</v>
      </c>
      <c r="H73" s="11">
        <f>_xlfn.QUARTILE.INC(L33:L42,2)</f>
        <v>2844074</v>
      </c>
      <c r="M73"/>
      <c r="N73"/>
    </row>
    <row r="74" spans="2:14" x14ac:dyDescent="0.3">
      <c r="B74" s="10" t="s">
        <v>44</v>
      </c>
      <c r="C74" s="9">
        <f>_xlfn.QUARTILE.INC(C33:C42,3)</f>
        <v>1178801.5</v>
      </c>
      <c r="D74" s="9">
        <f>_xlfn.QUARTILE.INC(D33:D42,3)</f>
        <v>2569649.75</v>
      </c>
      <c r="E74" s="9">
        <f>_xlfn.QUARTILE.INC(G33:G42,3)</f>
        <v>944407.25</v>
      </c>
      <c r="F74" s="9">
        <f>_xlfn.QUARTILE.INC(H33:H42,3)</f>
        <v>2284377.75</v>
      </c>
      <c r="G74" s="9">
        <f>_xlfn.QUARTILE.INC(K33:K42,3)</f>
        <v>1416858.5</v>
      </c>
      <c r="H74" s="11">
        <f>_xlfn.QUARTILE.INC(L33:L42,3)</f>
        <v>3045944.5</v>
      </c>
      <c r="M74"/>
      <c r="N74"/>
    </row>
    <row r="75" spans="2:14" x14ac:dyDescent="0.3">
      <c r="B75" s="10" t="s">
        <v>18</v>
      </c>
      <c r="C75" s="9">
        <f>MAX(C33:C42)</f>
        <v>1364364</v>
      </c>
      <c r="D75" s="9">
        <f>MAX(D33:D42)</f>
        <v>2587680</v>
      </c>
      <c r="E75" s="9">
        <f>MAX(G33:G42)</f>
        <v>1174442</v>
      </c>
      <c r="F75" s="9">
        <f>MAX(H33:H42)</f>
        <v>2308896</v>
      </c>
      <c r="G75" s="9">
        <f>MAX(K33:K42)</f>
        <v>1437378</v>
      </c>
      <c r="H75" s="11">
        <f>MAX(L33:L42)</f>
        <v>3155323</v>
      </c>
      <c r="M75"/>
      <c r="N75"/>
    </row>
    <row r="76" spans="2:14" ht="15" thickBot="1" x14ac:dyDescent="0.35">
      <c r="B76" s="1" t="s">
        <v>5</v>
      </c>
      <c r="C76" s="2">
        <f>_xlfn.STDEV.P(C33:C42)</f>
        <v>106663.90876299256</v>
      </c>
      <c r="D76" s="2">
        <f>_xlfn.STDEV.P(D33:D42)</f>
        <v>108072.91472242247</v>
      </c>
      <c r="E76" s="2">
        <f>_xlfn.STDEV.P(G33:G42)</f>
        <v>90246.197314956153</v>
      </c>
      <c r="F76" s="2">
        <f>_xlfn.STDEV.P(H33:H42)</f>
        <v>80127.744915478557</v>
      </c>
      <c r="G76" s="2">
        <f>_xlfn.STDEV.P(K33:K42)</f>
        <v>369890.64291079331</v>
      </c>
      <c r="H76" s="3">
        <f>_xlfn.STDEV.P(L33:L42)</f>
        <v>336946.21730449802</v>
      </c>
      <c r="M76"/>
      <c r="N76"/>
    </row>
    <row r="77" spans="2:14" x14ac:dyDescent="0.3">
      <c r="M77"/>
      <c r="N77"/>
    </row>
    <row r="78" spans="2:14" x14ac:dyDescent="0.3">
      <c r="M78"/>
      <c r="N78"/>
    </row>
    <row r="79" spans="2:14" x14ac:dyDescent="0.3">
      <c r="M79"/>
      <c r="N79"/>
    </row>
    <row r="80" spans="2:14" x14ac:dyDescent="0.3">
      <c r="M80"/>
      <c r="N80"/>
    </row>
    <row r="81" spans="13:14" x14ac:dyDescent="0.3">
      <c r="M81"/>
      <c r="N81"/>
    </row>
    <row r="82" spans="13:14" x14ac:dyDescent="0.3">
      <c r="M82"/>
      <c r="N82"/>
    </row>
    <row r="83" spans="13:14" x14ac:dyDescent="0.3">
      <c r="M83"/>
      <c r="N83"/>
    </row>
    <row r="84" spans="13:14" x14ac:dyDescent="0.3">
      <c r="M84"/>
      <c r="N84"/>
    </row>
    <row r="85" spans="13:14" x14ac:dyDescent="0.3">
      <c r="M85"/>
      <c r="N85"/>
    </row>
    <row r="86" spans="13:14" x14ac:dyDescent="0.3">
      <c r="M86"/>
      <c r="N86"/>
    </row>
    <row r="87" spans="13:14" x14ac:dyDescent="0.3">
      <c r="M87"/>
      <c r="N87"/>
    </row>
    <row r="88" spans="13:14" x14ac:dyDescent="0.3">
      <c r="M88"/>
      <c r="N88"/>
    </row>
    <row r="89" spans="13:14" x14ac:dyDescent="0.3">
      <c r="M89"/>
      <c r="N89"/>
    </row>
    <row r="90" spans="13:14" x14ac:dyDescent="0.3">
      <c r="M90"/>
      <c r="N90"/>
    </row>
    <row r="91" spans="13:14" x14ac:dyDescent="0.3">
      <c r="M91"/>
      <c r="N91"/>
    </row>
    <row r="92" spans="13:14" x14ac:dyDescent="0.3">
      <c r="M92"/>
      <c r="N92"/>
    </row>
    <row r="93" spans="13:14" x14ac:dyDescent="0.3">
      <c r="M93"/>
      <c r="N93"/>
    </row>
    <row r="94" spans="13:14" x14ac:dyDescent="0.3">
      <c r="M94"/>
      <c r="N94"/>
    </row>
    <row r="95" spans="13:14" x14ac:dyDescent="0.3">
      <c r="M95"/>
      <c r="N95"/>
    </row>
    <row r="96" spans="13:14" x14ac:dyDescent="0.3">
      <c r="M96"/>
      <c r="N96"/>
    </row>
    <row r="97" spans="13:14" x14ac:dyDescent="0.3">
      <c r="M97"/>
      <c r="N97"/>
    </row>
    <row r="98" spans="13:14" x14ac:dyDescent="0.3">
      <c r="M98"/>
      <c r="N98"/>
    </row>
    <row r="99" spans="13:14" x14ac:dyDescent="0.3">
      <c r="M99"/>
      <c r="N99"/>
    </row>
    <row r="100" spans="13:14" x14ac:dyDescent="0.3">
      <c r="M100"/>
      <c r="N100"/>
    </row>
    <row r="101" spans="13:14" x14ac:dyDescent="0.3">
      <c r="M101"/>
      <c r="N101"/>
    </row>
    <row r="102" spans="13:14" x14ac:dyDescent="0.3">
      <c r="M102"/>
      <c r="N102"/>
    </row>
    <row r="103" spans="13:14" x14ac:dyDescent="0.3">
      <c r="M103"/>
      <c r="N103"/>
    </row>
    <row r="104" spans="13:14" x14ac:dyDescent="0.3">
      <c r="M104"/>
      <c r="N104"/>
    </row>
    <row r="105" spans="13:14" x14ac:dyDescent="0.3">
      <c r="M105"/>
      <c r="N105"/>
    </row>
    <row r="106" spans="13:14" x14ac:dyDescent="0.3">
      <c r="M106"/>
      <c r="N106"/>
    </row>
    <row r="107" spans="13:14" x14ac:dyDescent="0.3">
      <c r="M107"/>
      <c r="N107"/>
    </row>
    <row r="108" spans="13:14" x14ac:dyDescent="0.3">
      <c r="M108"/>
      <c r="N108"/>
    </row>
    <row r="109" spans="13:14" x14ac:dyDescent="0.3">
      <c r="M109"/>
      <c r="N109"/>
    </row>
    <row r="110" spans="13:14" x14ac:dyDescent="0.3">
      <c r="M110"/>
      <c r="N110"/>
    </row>
  </sheetData>
  <mergeCells count="29">
    <mergeCell ref="J53:U53"/>
    <mergeCell ref="G61:H61"/>
    <mergeCell ref="G69:H69"/>
    <mergeCell ref="C45:D45"/>
    <mergeCell ref="C53:D53"/>
    <mergeCell ref="C61:D61"/>
    <mergeCell ref="C69:D69"/>
    <mergeCell ref="E45:F45"/>
    <mergeCell ref="E53:F53"/>
    <mergeCell ref="E61:F61"/>
    <mergeCell ref="E69:F69"/>
    <mergeCell ref="G45:H45"/>
    <mergeCell ref="G53:H53"/>
    <mergeCell ref="A1:D1"/>
    <mergeCell ref="E1:H1"/>
    <mergeCell ref="I1:L1"/>
    <mergeCell ref="C44:D44"/>
    <mergeCell ref="E44:F44"/>
    <mergeCell ref="G44:H44"/>
    <mergeCell ref="J44:U44"/>
    <mergeCell ref="U5:V5"/>
    <mergeCell ref="U6:V6"/>
    <mergeCell ref="U12:V12"/>
    <mergeCell ref="O6:P6"/>
    <mergeCell ref="O12:P12"/>
    <mergeCell ref="O5:P5"/>
    <mergeCell ref="R5:S5"/>
    <mergeCell ref="R6:S6"/>
    <mergeCell ref="R12:S1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978E2-73CC-410D-855C-B984CABB67A8}">
  <dimension ref="A1:G27"/>
  <sheetViews>
    <sheetView zoomScale="90" zoomScaleNormal="90" workbookViewId="0">
      <selection activeCell="G18" sqref="G18"/>
    </sheetView>
  </sheetViews>
  <sheetFormatPr defaultRowHeight="14.4" x14ac:dyDescent="0.3"/>
  <cols>
    <col min="2" max="2" width="15.6640625" customWidth="1"/>
    <col min="3" max="5" width="24.77734375" customWidth="1"/>
    <col min="6" max="7" width="14" customWidth="1"/>
  </cols>
  <sheetData>
    <row r="1" spans="1:7" x14ac:dyDescent="0.3">
      <c r="B1" s="21" t="s">
        <v>6</v>
      </c>
      <c r="C1" s="21" t="s">
        <v>36</v>
      </c>
      <c r="D1" s="7" t="s">
        <v>20</v>
      </c>
      <c r="F1" s="7"/>
      <c r="G1" s="7"/>
    </row>
    <row r="2" spans="1:7" x14ac:dyDescent="0.3">
      <c r="A2" s="5"/>
      <c r="B2" s="4" t="s">
        <v>7</v>
      </c>
      <c r="C2" s="4" t="s">
        <v>7</v>
      </c>
      <c r="D2" s="4" t="s">
        <v>7</v>
      </c>
      <c r="E2" s="5"/>
    </row>
    <row r="3" spans="1:7" x14ac:dyDescent="0.3">
      <c r="A3" s="5">
        <v>1</v>
      </c>
      <c r="B3" s="4">
        <v>2156.989247</v>
      </c>
      <c r="C3" s="4">
        <v>2026.262626</v>
      </c>
      <c r="D3" s="4">
        <v>1807.2072069999999</v>
      </c>
    </row>
    <row r="4" spans="1:7" x14ac:dyDescent="0.3">
      <c r="A4" s="5">
        <v>2</v>
      </c>
      <c r="B4" s="4">
        <v>2026.262626</v>
      </c>
      <c r="C4" s="4">
        <v>2228.8888889999998</v>
      </c>
      <c r="D4" s="4">
        <v>1966.666667</v>
      </c>
    </row>
    <row r="5" spans="1:7" x14ac:dyDescent="0.3">
      <c r="A5" s="5">
        <v>3</v>
      </c>
      <c r="B5" s="4">
        <v>2089.583333</v>
      </c>
      <c r="C5" s="4">
        <v>2156.989247</v>
      </c>
      <c r="D5" s="4">
        <v>2026.262626</v>
      </c>
    </row>
    <row r="6" spans="1:7" x14ac:dyDescent="0.3">
      <c r="A6" s="5">
        <v>4</v>
      </c>
      <c r="B6" s="4">
        <v>2156.989247</v>
      </c>
      <c r="C6" s="4">
        <v>2089.583333</v>
      </c>
      <c r="D6" s="4">
        <v>1910.4761900000001</v>
      </c>
    </row>
    <row r="7" spans="1:7" x14ac:dyDescent="0.3">
      <c r="A7" s="5">
        <v>5</v>
      </c>
      <c r="B7" s="4">
        <v>2089.583333</v>
      </c>
      <c r="C7" s="4">
        <v>2156.989247</v>
      </c>
      <c r="D7" s="4">
        <v>2026.262626</v>
      </c>
    </row>
    <row r="8" spans="1:7" x14ac:dyDescent="0.3">
      <c r="A8" s="5">
        <v>6</v>
      </c>
      <c r="B8" s="4">
        <v>2156.989247</v>
      </c>
      <c r="C8" s="4">
        <v>2026.262626</v>
      </c>
      <c r="D8" s="4">
        <v>1966.6666700000001</v>
      </c>
    </row>
    <row r="9" spans="1:7" x14ac:dyDescent="0.3">
      <c r="A9" s="5">
        <v>7</v>
      </c>
      <c r="B9" s="4">
        <v>2156.989247</v>
      </c>
      <c r="C9" s="4">
        <v>2156.989247</v>
      </c>
      <c r="D9" s="4">
        <v>2026.262626</v>
      </c>
      <c r="F9" s="40"/>
    </row>
    <row r="10" spans="1:7" x14ac:dyDescent="0.3">
      <c r="A10" s="5">
        <v>8</v>
      </c>
      <c r="B10" s="4">
        <v>2156.989247</v>
      </c>
      <c r="C10" s="4">
        <v>2228.8888889999998</v>
      </c>
      <c r="D10" s="4">
        <v>1966.6669999999999</v>
      </c>
    </row>
    <row r="11" spans="1:7" x14ac:dyDescent="0.3">
      <c r="A11" s="5">
        <v>9</v>
      </c>
      <c r="B11" s="4">
        <v>2089.583333</v>
      </c>
      <c r="C11" s="4">
        <v>2089.583333</v>
      </c>
      <c r="D11" s="4">
        <v>2026.262626</v>
      </c>
    </row>
    <row r="12" spans="1:7" x14ac:dyDescent="0.3">
      <c r="A12" s="5">
        <v>10</v>
      </c>
      <c r="B12" s="4">
        <v>2156.989247</v>
      </c>
      <c r="C12" s="4">
        <v>2026.262626</v>
      </c>
      <c r="D12" s="4">
        <v>2089.5832999999998</v>
      </c>
      <c r="F12" s="14"/>
    </row>
    <row r="13" spans="1:7" ht="15" thickBot="1" x14ac:dyDescent="0.35">
      <c r="A13" s="5"/>
      <c r="B13" s="4"/>
      <c r="C13" s="5"/>
      <c r="D13" s="4"/>
      <c r="E13" s="5"/>
      <c r="F13" s="13"/>
    </row>
    <row r="14" spans="1:7" x14ac:dyDescent="0.3">
      <c r="B14" s="15"/>
      <c r="C14" s="16" t="s">
        <v>21</v>
      </c>
      <c r="D14" s="16" t="s">
        <v>22</v>
      </c>
      <c r="E14" s="25" t="s">
        <v>23</v>
      </c>
      <c r="F14" s="14"/>
    </row>
    <row r="15" spans="1:7" x14ac:dyDescent="0.3">
      <c r="B15" s="10" t="s">
        <v>19</v>
      </c>
      <c r="C15" s="36">
        <f>MIN(B3:B12)</f>
        <v>2026.262626</v>
      </c>
      <c r="D15" s="36">
        <f>MIN(C3:C12)</f>
        <v>2026.262626</v>
      </c>
      <c r="E15" s="37">
        <f>MIN(D3:D12)</f>
        <v>1807.2072069999999</v>
      </c>
      <c r="F15" s="14"/>
    </row>
    <row r="16" spans="1:7" x14ac:dyDescent="0.3">
      <c r="B16" s="10" t="s">
        <v>32</v>
      </c>
      <c r="C16" s="36">
        <f>_xlfn.QUARTILE.INC(B3:B12,1)</f>
        <v>2089.583333</v>
      </c>
      <c r="D16" s="36">
        <f>_xlfn.QUARTILE.INC(C3:C12,1)</f>
        <v>2042.0928027499999</v>
      </c>
      <c r="E16" s="37">
        <f>_xlfn.QUARTILE.INC(D3:D12,1)</f>
        <v>1966.66666775</v>
      </c>
    </row>
    <row r="17" spans="2:5" x14ac:dyDescent="0.3">
      <c r="B17" s="17" t="s">
        <v>34</v>
      </c>
      <c r="C17" s="36">
        <f>_xlfn.QUARTILE.INC(B3:B12,2)</f>
        <v>2156.989247</v>
      </c>
      <c r="D17" s="36">
        <f t="shared" ref="D17:E17" si="0">_xlfn.QUARTILE.INC(C3:C12,2)</f>
        <v>2123.28629</v>
      </c>
      <c r="E17" s="37">
        <f t="shared" si="0"/>
        <v>1996.464813</v>
      </c>
    </row>
    <row r="18" spans="2:5" x14ac:dyDescent="0.3">
      <c r="B18" s="26" t="s">
        <v>33</v>
      </c>
      <c r="C18" s="36">
        <f>_xlfn.QUARTILE.INC(B3:B12,3)</f>
        <v>2156.989247</v>
      </c>
      <c r="D18" s="36">
        <f>_xlfn.QUARTILE.INC(C3:C12,3)</f>
        <v>2156.989247</v>
      </c>
      <c r="E18" s="37">
        <f>_xlfn.QUARTILE.INC(D3:D12,3)</f>
        <v>2026.262626</v>
      </c>
    </row>
    <row r="19" spans="2:5" x14ac:dyDescent="0.3">
      <c r="B19" s="10" t="s">
        <v>18</v>
      </c>
      <c r="C19" s="36">
        <f>MAX(B3:B12)</f>
        <v>2156.989247</v>
      </c>
      <c r="D19" s="36">
        <f>MAX(C3:C12)</f>
        <v>2228.8888889999998</v>
      </c>
      <c r="E19" s="37">
        <f>MAX(D3:D12)</f>
        <v>2089.5832999999998</v>
      </c>
    </row>
    <row r="20" spans="2:5" ht="15" thickBot="1" x14ac:dyDescent="0.35">
      <c r="B20" s="6" t="s">
        <v>5</v>
      </c>
      <c r="C20" s="38">
        <f>_xlfn.STDEV.P(B3:B12)</f>
        <v>44.311314897276787</v>
      </c>
      <c r="D20" s="38">
        <f>_xlfn.STDEV.P(C3:C12)</f>
        <v>74.840455476830584</v>
      </c>
      <c r="E20" s="39">
        <f>_xlfn.STDEV.P(D3:D12)</f>
        <v>74.684994168005431</v>
      </c>
    </row>
    <row r="23" spans="2:5" x14ac:dyDescent="0.3">
      <c r="B23" s="27" t="s">
        <v>35</v>
      </c>
      <c r="C23" s="28">
        <f>C15</f>
        <v>2026.262626</v>
      </c>
      <c r="D23" s="28">
        <f t="shared" ref="D23:E23" si="1">D15</f>
        <v>2026.262626</v>
      </c>
      <c r="E23" s="29">
        <f t="shared" si="1"/>
        <v>1807.2072069999999</v>
      </c>
    </row>
    <row r="24" spans="2:5" x14ac:dyDescent="0.3">
      <c r="B24" s="30"/>
      <c r="C24" s="32">
        <f t="shared" ref="C24:E27" si="2">C16-C15</f>
        <v>63.320707000000084</v>
      </c>
      <c r="D24" s="32">
        <f t="shared" si="2"/>
        <v>15.830176749999964</v>
      </c>
      <c r="E24" s="33">
        <f t="shared" si="2"/>
        <v>159.45946075000006</v>
      </c>
    </row>
    <row r="25" spans="2:5" x14ac:dyDescent="0.3">
      <c r="B25" s="30"/>
      <c r="C25" s="32">
        <f t="shared" si="2"/>
        <v>67.405913999999939</v>
      </c>
      <c r="D25" s="32">
        <f t="shared" si="2"/>
        <v>81.193487250000089</v>
      </c>
      <c r="E25" s="33">
        <f t="shared" si="2"/>
        <v>29.798145250000061</v>
      </c>
    </row>
    <row r="26" spans="2:5" x14ac:dyDescent="0.3">
      <c r="B26" s="30"/>
      <c r="C26" s="32">
        <f t="shared" si="2"/>
        <v>0</v>
      </c>
      <c r="D26" s="32">
        <f t="shared" si="2"/>
        <v>33.702956999999969</v>
      </c>
      <c r="E26" s="33">
        <f t="shared" si="2"/>
        <v>29.797812999999906</v>
      </c>
    </row>
    <row r="27" spans="2:5" x14ac:dyDescent="0.3">
      <c r="B27" s="31"/>
      <c r="C27" s="34">
        <f t="shared" si="2"/>
        <v>0</v>
      </c>
      <c r="D27" s="34">
        <f t="shared" si="2"/>
        <v>71.899641999999858</v>
      </c>
      <c r="E27" s="35">
        <f t="shared" si="2"/>
        <v>63.320673999999826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67DF4-B92C-4065-8F63-D1E789A346BF}">
  <dimension ref="A2:E13"/>
  <sheetViews>
    <sheetView zoomScale="40" zoomScaleNormal="40" workbookViewId="0">
      <selection activeCell="Z69" sqref="Z69"/>
    </sheetView>
  </sheetViews>
  <sheetFormatPr defaultRowHeight="14.4" x14ac:dyDescent="0.3"/>
  <cols>
    <col min="1" max="1" width="5.77734375" customWidth="1"/>
    <col min="2" max="2" width="18.44140625" customWidth="1"/>
    <col min="3" max="5" width="23.33203125" customWidth="1"/>
    <col min="6" max="9" width="12.44140625" customWidth="1"/>
    <col min="10" max="10" width="16.6640625" customWidth="1"/>
    <col min="11" max="17" width="12.44140625" customWidth="1"/>
    <col min="18" max="18" width="16.6640625" customWidth="1"/>
    <col min="19" max="25" width="12.44140625" customWidth="1"/>
  </cols>
  <sheetData>
    <row r="2" spans="1:5" x14ac:dyDescent="0.3">
      <c r="C2" s="21" t="s">
        <v>6</v>
      </c>
      <c r="D2" s="21" t="s">
        <v>49</v>
      </c>
      <c r="E2" s="7" t="s">
        <v>20</v>
      </c>
    </row>
    <row r="3" spans="1:5" x14ac:dyDescent="0.3">
      <c r="A3" s="5"/>
      <c r="B3" t="s">
        <v>48</v>
      </c>
      <c r="C3" s="4" t="s">
        <v>47</v>
      </c>
      <c r="D3" s="4" t="s">
        <v>47</v>
      </c>
      <c r="E3" s="4" t="s">
        <v>47</v>
      </c>
    </row>
    <row r="4" spans="1:5" x14ac:dyDescent="0.3">
      <c r="A4" s="24"/>
      <c r="B4" s="24">
        <v>64</v>
      </c>
      <c r="C4" s="42">
        <v>11160.97</v>
      </c>
      <c r="D4" s="42">
        <v>8829.2199999999993</v>
      </c>
      <c r="E4" s="42">
        <v>6960.2</v>
      </c>
    </row>
    <row r="5" spans="1:5" x14ac:dyDescent="0.3">
      <c r="A5" s="24"/>
      <c r="B5" s="24">
        <v>128</v>
      </c>
      <c r="C5" s="42">
        <v>11303.14</v>
      </c>
      <c r="D5" s="42">
        <v>8859.6</v>
      </c>
      <c r="E5" s="42">
        <v>6812.36</v>
      </c>
    </row>
    <row r="6" spans="1:5" x14ac:dyDescent="0.3">
      <c r="A6" s="24"/>
      <c r="B6" s="24">
        <v>256</v>
      </c>
      <c r="C6" s="42">
        <v>11176.12</v>
      </c>
      <c r="D6" s="42">
        <v>8918.2000000000007</v>
      </c>
      <c r="E6" s="42">
        <v>6581.06</v>
      </c>
    </row>
    <row r="7" spans="1:5" x14ac:dyDescent="0.3">
      <c r="A7" s="24"/>
      <c r="B7" s="24">
        <v>512</v>
      </c>
      <c r="C7" s="42">
        <v>10987.87</v>
      </c>
      <c r="D7" s="42">
        <v>8668.73</v>
      </c>
      <c r="E7" s="42">
        <v>6896.02</v>
      </c>
    </row>
    <row r="8" spans="1:5" x14ac:dyDescent="0.3">
      <c r="A8" s="24"/>
      <c r="B8" s="24" t="s">
        <v>26</v>
      </c>
      <c r="C8" s="42">
        <v>11122.65</v>
      </c>
      <c r="D8" s="42">
        <v>8718.8799999999992</v>
      </c>
      <c r="E8" s="42">
        <v>7007.06</v>
      </c>
    </row>
    <row r="9" spans="1:5" x14ac:dyDescent="0.3">
      <c r="A9" s="24"/>
      <c r="B9" s="24" t="s">
        <v>27</v>
      </c>
      <c r="C9" s="42">
        <v>11323.61</v>
      </c>
      <c r="D9" s="42">
        <v>8721.2000000000007</v>
      </c>
      <c r="E9" s="42">
        <v>7151.78</v>
      </c>
    </row>
    <row r="10" spans="1:5" x14ac:dyDescent="0.3">
      <c r="A10" s="24"/>
      <c r="B10" s="24" t="s">
        <v>28</v>
      </c>
      <c r="C10" s="42">
        <v>10984.9</v>
      </c>
      <c r="D10" s="42">
        <v>8476.6</v>
      </c>
      <c r="E10" s="42">
        <v>7761.89</v>
      </c>
    </row>
    <row r="11" spans="1:5" x14ac:dyDescent="0.3">
      <c r="A11" s="24"/>
      <c r="B11" s="24" t="s">
        <v>29</v>
      </c>
      <c r="C11" s="42">
        <v>11153.55</v>
      </c>
      <c r="D11" s="42">
        <v>8774.48</v>
      </c>
      <c r="E11" s="42">
        <v>6998.79</v>
      </c>
    </row>
    <row r="12" spans="1:5" x14ac:dyDescent="0.3">
      <c r="B12" s="24" t="s">
        <v>30</v>
      </c>
      <c r="C12" s="42">
        <v>10792.59</v>
      </c>
      <c r="D12" s="42">
        <v>9103.19</v>
      </c>
      <c r="E12" s="42">
        <v>7019.81</v>
      </c>
    </row>
    <row r="13" spans="1:5" x14ac:dyDescent="0.3">
      <c r="B13" s="24" t="s">
        <v>31</v>
      </c>
      <c r="C13" s="42">
        <v>10985.87</v>
      </c>
      <c r="D13" s="42">
        <v>8751.48</v>
      </c>
      <c r="E13" s="42">
        <v>6971.2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N27"/>
  <sheetViews>
    <sheetView zoomScale="40" zoomScaleNormal="40" workbookViewId="0">
      <selection activeCell="AE44" sqref="AE44"/>
    </sheetView>
  </sheetViews>
  <sheetFormatPr defaultRowHeight="14.4" x14ac:dyDescent="0.3"/>
  <cols>
    <col min="1" max="1" width="10.77734375" customWidth="1"/>
    <col min="2" max="14" width="14.5546875" customWidth="1"/>
  </cols>
  <sheetData>
    <row r="1" spans="1:14" x14ac:dyDescent="0.3">
      <c r="A1" s="59" t="s">
        <v>6</v>
      </c>
      <c r="B1" s="59"/>
      <c r="C1" s="59"/>
      <c r="D1" s="59"/>
      <c r="E1" s="59"/>
      <c r="F1" s="59" t="s">
        <v>0</v>
      </c>
      <c r="G1" s="59"/>
      <c r="H1" s="59"/>
      <c r="I1" s="59"/>
      <c r="J1" s="59" t="s">
        <v>20</v>
      </c>
      <c r="K1" s="59"/>
      <c r="L1" s="59"/>
      <c r="M1" s="59"/>
    </row>
    <row r="2" spans="1:14" x14ac:dyDescent="0.3">
      <c r="B2" t="s">
        <v>1</v>
      </c>
      <c r="C2" t="s">
        <v>2</v>
      </c>
      <c r="D2" t="s">
        <v>3</v>
      </c>
      <c r="E2" t="s">
        <v>4</v>
      </c>
      <c r="F2" t="s">
        <v>1</v>
      </c>
      <c r="G2" t="s">
        <v>2</v>
      </c>
      <c r="H2" t="s">
        <v>3</v>
      </c>
      <c r="I2" t="s">
        <v>4</v>
      </c>
      <c r="J2" t="s">
        <v>1</v>
      </c>
      <c r="K2" t="s">
        <v>2</v>
      </c>
      <c r="L2" t="s">
        <v>3</v>
      </c>
      <c r="M2" t="s">
        <v>4</v>
      </c>
    </row>
    <row r="3" spans="1:14" x14ac:dyDescent="0.3">
      <c r="A3">
        <v>1</v>
      </c>
      <c r="B3" s="4">
        <v>11824.2</v>
      </c>
      <c r="C3" s="4">
        <v>11479.3</v>
      </c>
      <c r="D3" s="4">
        <v>12908.5</v>
      </c>
      <c r="E3" s="4">
        <v>12808.3</v>
      </c>
      <c r="F3" s="4">
        <v>11639.8</v>
      </c>
      <c r="G3" s="4">
        <v>11331.2</v>
      </c>
      <c r="H3" s="4">
        <v>12781.7</v>
      </c>
      <c r="I3" s="4">
        <v>12600.7</v>
      </c>
      <c r="J3" s="4">
        <v>10875.9</v>
      </c>
      <c r="K3" s="4">
        <v>10540.4</v>
      </c>
      <c r="L3" s="4">
        <v>11917.1</v>
      </c>
      <c r="M3" s="4">
        <v>11637.1</v>
      </c>
    </row>
    <row r="4" spans="1:14" x14ac:dyDescent="0.3">
      <c r="A4">
        <v>2</v>
      </c>
      <c r="B4" s="4">
        <v>11869.1</v>
      </c>
      <c r="C4" s="4">
        <v>11520.2</v>
      </c>
      <c r="D4" s="4">
        <v>12961.8</v>
      </c>
      <c r="E4" s="4">
        <v>12871.6</v>
      </c>
      <c r="F4" s="4">
        <v>11648.6</v>
      </c>
      <c r="G4" s="4">
        <v>11334.4</v>
      </c>
      <c r="H4" s="4">
        <v>12779</v>
      </c>
      <c r="I4" s="4">
        <v>12620.7</v>
      </c>
      <c r="J4" s="4">
        <v>10672.8</v>
      </c>
      <c r="K4" s="4">
        <v>10198.700000000001</v>
      </c>
      <c r="L4" s="4">
        <v>11680</v>
      </c>
      <c r="M4" s="4">
        <v>11440.4</v>
      </c>
    </row>
    <row r="5" spans="1:14" x14ac:dyDescent="0.3">
      <c r="A5">
        <v>3</v>
      </c>
      <c r="B5" s="4">
        <v>11852.3</v>
      </c>
      <c r="C5" s="4">
        <v>11562.5</v>
      </c>
      <c r="D5" s="4">
        <v>13017</v>
      </c>
      <c r="E5" s="4">
        <v>12860.7</v>
      </c>
      <c r="F5" s="4">
        <v>11656.8</v>
      </c>
      <c r="G5" s="4">
        <v>11363.5</v>
      </c>
      <c r="H5" s="4">
        <v>12789.4</v>
      </c>
      <c r="I5" s="4">
        <v>12643.9</v>
      </c>
      <c r="J5" s="4">
        <v>8652</v>
      </c>
      <c r="K5" s="4">
        <v>8450.4</v>
      </c>
      <c r="L5" s="4">
        <v>9706.5</v>
      </c>
      <c r="M5" s="4">
        <v>9650.1</v>
      </c>
    </row>
    <row r="6" spans="1:14" x14ac:dyDescent="0.3">
      <c r="A6">
        <v>4</v>
      </c>
      <c r="B6" s="4">
        <v>11675.9</v>
      </c>
      <c r="C6" s="4">
        <v>11319.8</v>
      </c>
      <c r="D6" s="4">
        <v>12788.2</v>
      </c>
      <c r="E6" s="4">
        <v>12616.9</v>
      </c>
      <c r="F6" s="4">
        <v>11907.6</v>
      </c>
      <c r="G6" s="4">
        <v>11494.6</v>
      </c>
      <c r="H6" s="4">
        <v>13010.2</v>
      </c>
      <c r="I6" s="4">
        <v>12838.1</v>
      </c>
      <c r="J6" s="4">
        <v>7171</v>
      </c>
      <c r="K6" s="4">
        <v>6926.6</v>
      </c>
      <c r="L6" s="4">
        <v>7516.9</v>
      </c>
      <c r="M6" s="4">
        <v>7579.7</v>
      </c>
    </row>
    <row r="7" spans="1:14" x14ac:dyDescent="0.3">
      <c r="A7">
        <v>5</v>
      </c>
      <c r="B7" s="4">
        <v>11670.9</v>
      </c>
      <c r="C7" s="4">
        <v>11327</v>
      </c>
      <c r="D7" s="4">
        <v>12772.3</v>
      </c>
      <c r="E7" s="4">
        <v>12614.5</v>
      </c>
      <c r="F7" s="4">
        <v>11762.4</v>
      </c>
      <c r="G7" s="4">
        <v>11393.8</v>
      </c>
      <c r="H7" s="4">
        <v>12894.5</v>
      </c>
      <c r="I7" s="4">
        <v>12735.4</v>
      </c>
      <c r="J7" s="4">
        <v>7643.2</v>
      </c>
      <c r="K7" s="4">
        <v>7434.9</v>
      </c>
      <c r="L7" s="4">
        <v>8394.9</v>
      </c>
      <c r="M7" s="4">
        <v>8497.5</v>
      </c>
    </row>
    <row r="8" spans="1:14" x14ac:dyDescent="0.3">
      <c r="A8">
        <v>6</v>
      </c>
      <c r="B8" s="4">
        <v>11894.2</v>
      </c>
      <c r="C8" s="4">
        <v>11523.8</v>
      </c>
      <c r="D8" s="4">
        <v>12970.2</v>
      </c>
      <c r="E8" s="4">
        <v>12861.4</v>
      </c>
      <c r="F8" s="4">
        <v>11521</v>
      </c>
      <c r="G8" s="4">
        <v>11270.9</v>
      </c>
      <c r="H8" s="4">
        <v>12674.7</v>
      </c>
      <c r="I8" s="4">
        <v>12498.3</v>
      </c>
      <c r="J8" s="4">
        <v>7385.9</v>
      </c>
      <c r="K8" s="4">
        <v>7255.2</v>
      </c>
      <c r="L8" s="4">
        <v>7913.9</v>
      </c>
      <c r="M8" s="4">
        <v>7825</v>
      </c>
    </row>
    <row r="9" spans="1:14" x14ac:dyDescent="0.3">
      <c r="A9">
        <v>7</v>
      </c>
      <c r="B9" s="4">
        <v>11810.9</v>
      </c>
      <c r="C9" s="4">
        <v>11532.6</v>
      </c>
      <c r="D9" s="4">
        <v>12969</v>
      </c>
      <c r="E9" s="4">
        <v>12791.6</v>
      </c>
      <c r="F9" s="4">
        <v>11353.5</v>
      </c>
      <c r="G9" s="4">
        <v>11073.7</v>
      </c>
      <c r="H9" s="4">
        <v>12531.9</v>
      </c>
      <c r="I9" s="4">
        <v>12340</v>
      </c>
      <c r="J9" s="4">
        <v>7937.7</v>
      </c>
      <c r="K9" s="4">
        <v>7767.5</v>
      </c>
      <c r="L9" s="4">
        <v>8574</v>
      </c>
      <c r="M9" s="4">
        <v>8414.5</v>
      </c>
    </row>
    <row r="10" spans="1:14" x14ac:dyDescent="0.3">
      <c r="A10">
        <v>8</v>
      </c>
      <c r="B10" s="4">
        <v>11896.9</v>
      </c>
      <c r="C10" s="4">
        <v>11569.6</v>
      </c>
      <c r="D10" s="4">
        <v>13014.5</v>
      </c>
      <c r="E10" s="4">
        <v>12869.3</v>
      </c>
      <c r="F10" s="4">
        <v>11784.3</v>
      </c>
      <c r="G10" s="4">
        <v>11448.2</v>
      </c>
      <c r="H10" s="4">
        <v>12949.7</v>
      </c>
      <c r="I10" s="4">
        <v>12810.6</v>
      </c>
      <c r="J10" s="4">
        <v>7905.4</v>
      </c>
      <c r="K10" s="4">
        <v>7804.4</v>
      </c>
      <c r="L10" s="4">
        <v>8579.9</v>
      </c>
      <c r="M10" s="4">
        <v>8586</v>
      </c>
    </row>
    <row r="11" spans="1:14" x14ac:dyDescent="0.3">
      <c r="A11">
        <v>9</v>
      </c>
      <c r="B11" s="4">
        <v>11876</v>
      </c>
      <c r="C11" s="4">
        <v>11552.7</v>
      </c>
      <c r="D11" s="4">
        <v>13029.1</v>
      </c>
      <c r="E11" s="4">
        <v>12861.3</v>
      </c>
      <c r="F11" s="4">
        <v>11572.5</v>
      </c>
      <c r="G11" s="4">
        <v>11049.3</v>
      </c>
      <c r="H11" s="4">
        <v>12536</v>
      </c>
      <c r="I11" s="4">
        <v>12330.6</v>
      </c>
      <c r="J11" s="4">
        <v>9250.9</v>
      </c>
      <c r="K11" s="4">
        <v>8868.4</v>
      </c>
      <c r="L11" s="4">
        <v>10009.9</v>
      </c>
      <c r="M11" s="4">
        <v>10011.200000000001</v>
      </c>
    </row>
    <row r="12" spans="1:14" x14ac:dyDescent="0.3">
      <c r="A12">
        <v>10</v>
      </c>
      <c r="B12" s="4">
        <v>11861.3</v>
      </c>
      <c r="C12" s="4">
        <v>11533.1</v>
      </c>
      <c r="D12" s="4">
        <v>12993</v>
      </c>
      <c r="E12" s="4">
        <v>12848.3</v>
      </c>
      <c r="F12" s="4">
        <v>9525.4</v>
      </c>
      <c r="G12" s="4">
        <v>9337.9</v>
      </c>
      <c r="H12" s="4">
        <v>9453.2000000000007</v>
      </c>
      <c r="I12" s="4">
        <v>10122.700000000001</v>
      </c>
      <c r="J12" s="4">
        <v>10640.5</v>
      </c>
      <c r="K12" s="4">
        <v>10368.700000000001</v>
      </c>
      <c r="L12" s="4">
        <v>11635.9</v>
      </c>
      <c r="M12" s="4">
        <v>11468.6</v>
      </c>
    </row>
    <row r="13" spans="1:14" ht="15" thickBot="1" x14ac:dyDescent="0.35"/>
    <row r="14" spans="1:14" x14ac:dyDescent="0.3">
      <c r="B14" s="20"/>
      <c r="C14" s="64" t="s">
        <v>6</v>
      </c>
      <c r="D14" s="64"/>
      <c r="E14" s="64"/>
      <c r="F14" s="64"/>
      <c r="G14" s="64" t="s">
        <v>0</v>
      </c>
      <c r="H14" s="64"/>
      <c r="I14" s="64"/>
      <c r="J14" s="64"/>
      <c r="K14" s="64" t="s">
        <v>20</v>
      </c>
      <c r="L14" s="64"/>
      <c r="M14" s="64"/>
      <c r="N14" s="65"/>
    </row>
    <row r="15" spans="1:14" x14ac:dyDescent="0.3">
      <c r="B15" s="22"/>
      <c r="C15" s="14" t="s">
        <v>37</v>
      </c>
      <c r="D15" s="14" t="s">
        <v>38</v>
      </c>
      <c r="E15" s="14" t="s">
        <v>39</v>
      </c>
      <c r="F15" s="14" t="s">
        <v>40</v>
      </c>
      <c r="G15" s="14" t="s">
        <v>41</v>
      </c>
      <c r="H15" s="14" t="s">
        <v>38</v>
      </c>
      <c r="I15" s="14" t="s">
        <v>42</v>
      </c>
      <c r="J15" s="14" t="s">
        <v>43</v>
      </c>
      <c r="K15" s="14" t="s">
        <v>37</v>
      </c>
      <c r="L15" s="14" t="s">
        <v>38</v>
      </c>
      <c r="M15" s="14" t="s">
        <v>42</v>
      </c>
      <c r="N15" s="23" t="s">
        <v>43</v>
      </c>
    </row>
    <row r="16" spans="1:14" x14ac:dyDescent="0.3">
      <c r="B16" s="10" t="s">
        <v>19</v>
      </c>
      <c r="C16" s="36">
        <f t="shared" ref="C16:N16" si="0">MIN(B3:B12)</f>
        <v>11670.9</v>
      </c>
      <c r="D16" s="36">
        <f t="shared" si="0"/>
        <v>11319.8</v>
      </c>
      <c r="E16" s="36">
        <f t="shared" si="0"/>
        <v>12772.3</v>
      </c>
      <c r="F16" s="36">
        <f t="shared" si="0"/>
        <v>12614.5</v>
      </c>
      <c r="G16" s="36">
        <f t="shared" si="0"/>
        <v>9525.4</v>
      </c>
      <c r="H16" s="36">
        <f t="shared" si="0"/>
        <v>9337.9</v>
      </c>
      <c r="I16" s="36">
        <f t="shared" si="0"/>
        <v>9453.2000000000007</v>
      </c>
      <c r="J16" s="36">
        <f t="shared" si="0"/>
        <v>10122.700000000001</v>
      </c>
      <c r="K16" s="36">
        <f t="shared" si="0"/>
        <v>7171</v>
      </c>
      <c r="L16" s="36">
        <f t="shared" si="0"/>
        <v>6926.6</v>
      </c>
      <c r="M16" s="36">
        <f t="shared" si="0"/>
        <v>7516.9</v>
      </c>
      <c r="N16" s="37">
        <f t="shared" si="0"/>
        <v>7579.7</v>
      </c>
    </row>
    <row r="17" spans="2:14" x14ac:dyDescent="0.3">
      <c r="B17" s="10" t="s">
        <v>32</v>
      </c>
      <c r="C17" s="36">
        <f>_xlfn.QUARTILE.INC(B3:B12,1)</f>
        <v>11814.225</v>
      </c>
      <c r="D17" s="36">
        <f t="shared" ref="D17:M17" si="1">_xlfn.QUARTILE.INC(C3:C12,1)</f>
        <v>11489.525</v>
      </c>
      <c r="E17" s="36">
        <f t="shared" si="1"/>
        <v>12921.825000000001</v>
      </c>
      <c r="F17" s="36">
        <f t="shared" si="1"/>
        <v>12795.775</v>
      </c>
      <c r="G17" s="36">
        <f t="shared" si="1"/>
        <v>11533.875</v>
      </c>
      <c r="H17" s="36">
        <f t="shared" si="1"/>
        <v>11123</v>
      </c>
      <c r="I17" s="36">
        <f t="shared" si="1"/>
        <v>12570.674999999999</v>
      </c>
      <c r="J17" s="36">
        <f t="shared" si="1"/>
        <v>12379.575000000001</v>
      </c>
      <c r="K17" s="36">
        <f t="shared" si="1"/>
        <v>7708.75</v>
      </c>
      <c r="L17" s="36">
        <f t="shared" si="1"/>
        <v>7518.0499999999993</v>
      </c>
      <c r="M17" s="36">
        <f t="shared" si="1"/>
        <v>8439.6749999999993</v>
      </c>
      <c r="N17" s="37">
        <f>_xlfn.QUARTILE.INC(M3:M12,1)</f>
        <v>8435.25</v>
      </c>
    </row>
    <row r="18" spans="2:14" x14ac:dyDescent="0.3">
      <c r="B18" s="17" t="s">
        <v>34</v>
      </c>
      <c r="C18" s="36">
        <f>_xlfn.QUARTILE.INC(B3:B12,2)</f>
        <v>11856.8</v>
      </c>
      <c r="D18" s="36">
        <f t="shared" ref="D18:M18" si="2">_xlfn.QUARTILE.INC(C3:C12,2)</f>
        <v>11528.2</v>
      </c>
      <c r="E18" s="36">
        <f t="shared" si="2"/>
        <v>12969.6</v>
      </c>
      <c r="F18" s="36">
        <f t="shared" si="2"/>
        <v>12854.5</v>
      </c>
      <c r="G18" s="36">
        <f t="shared" si="2"/>
        <v>11644.2</v>
      </c>
      <c r="H18" s="36">
        <f t="shared" si="2"/>
        <v>11332.8</v>
      </c>
      <c r="I18" s="36">
        <f t="shared" si="2"/>
        <v>12780.35</v>
      </c>
      <c r="J18" s="36">
        <f t="shared" si="2"/>
        <v>12610.7</v>
      </c>
      <c r="K18" s="36">
        <f t="shared" si="2"/>
        <v>8294.85</v>
      </c>
      <c r="L18" s="36">
        <f t="shared" si="2"/>
        <v>8127.4</v>
      </c>
      <c r="M18" s="36">
        <f t="shared" si="2"/>
        <v>9143.2000000000007</v>
      </c>
      <c r="N18" s="37">
        <f>_xlfn.QUARTILE.INC(M3:M12,2)</f>
        <v>9118.0499999999993</v>
      </c>
    </row>
    <row r="19" spans="2:14" x14ac:dyDescent="0.3">
      <c r="B19" s="26" t="s">
        <v>33</v>
      </c>
      <c r="C19" s="36">
        <f>_xlfn.QUARTILE.INC(B3:B12,3)</f>
        <v>11874.275</v>
      </c>
      <c r="D19" s="36">
        <f t="shared" ref="D19:M19" si="3">_xlfn.QUARTILE.INC(C3:C12,3)</f>
        <v>11547.800000000001</v>
      </c>
      <c r="E19" s="36">
        <f t="shared" si="3"/>
        <v>13009.125</v>
      </c>
      <c r="F19" s="36">
        <f t="shared" si="3"/>
        <v>12861.375</v>
      </c>
      <c r="G19" s="36">
        <f t="shared" si="3"/>
        <v>11736</v>
      </c>
      <c r="H19" s="36">
        <f t="shared" si="3"/>
        <v>11386.224999999999</v>
      </c>
      <c r="I19" s="36">
        <f t="shared" si="3"/>
        <v>12868.225</v>
      </c>
      <c r="J19" s="36">
        <f t="shared" si="3"/>
        <v>12712.525</v>
      </c>
      <c r="K19" s="36">
        <f t="shared" si="3"/>
        <v>10293.1</v>
      </c>
      <c r="L19" s="36">
        <f t="shared" si="3"/>
        <v>9866.125</v>
      </c>
      <c r="M19" s="36">
        <f t="shared" si="3"/>
        <v>11229.4</v>
      </c>
      <c r="N19" s="37">
        <f>_xlfn.QUARTILE.INC(M3:M12,3)</f>
        <v>11083.1</v>
      </c>
    </row>
    <row r="20" spans="2:14" x14ac:dyDescent="0.3">
      <c r="B20" s="10" t="s">
        <v>18</v>
      </c>
      <c r="C20" s="36">
        <f t="shared" ref="C20:N20" si="4">MAX(B3:B12)</f>
        <v>11896.9</v>
      </c>
      <c r="D20" s="36">
        <f t="shared" si="4"/>
        <v>11569.6</v>
      </c>
      <c r="E20" s="36">
        <f t="shared" si="4"/>
        <v>13029.1</v>
      </c>
      <c r="F20" s="36">
        <f t="shared" si="4"/>
        <v>12871.6</v>
      </c>
      <c r="G20" s="36">
        <f t="shared" si="4"/>
        <v>11907.6</v>
      </c>
      <c r="H20" s="36">
        <f t="shared" si="4"/>
        <v>11494.6</v>
      </c>
      <c r="I20" s="36">
        <f t="shared" si="4"/>
        <v>13010.2</v>
      </c>
      <c r="J20" s="36">
        <f t="shared" si="4"/>
        <v>12838.1</v>
      </c>
      <c r="K20" s="36">
        <f t="shared" si="4"/>
        <v>10875.9</v>
      </c>
      <c r="L20" s="36">
        <f t="shared" si="4"/>
        <v>10540.4</v>
      </c>
      <c r="M20" s="36">
        <f t="shared" si="4"/>
        <v>11917.1</v>
      </c>
      <c r="N20" s="37">
        <f t="shared" si="4"/>
        <v>11637.1</v>
      </c>
    </row>
    <row r="21" spans="2:14" ht="15" thickBot="1" x14ac:dyDescent="0.35">
      <c r="B21" s="1" t="s">
        <v>5</v>
      </c>
      <c r="C21" s="38">
        <f t="shared" ref="C21:N21" si="5">_xlfn.STDEV.P(B3:B12)</f>
        <v>79.19003788356224</v>
      </c>
      <c r="D21" s="38">
        <f t="shared" si="5"/>
        <v>87.669632142493029</v>
      </c>
      <c r="E21" s="38">
        <f t="shared" si="5"/>
        <v>87.497670826142624</v>
      </c>
      <c r="F21" s="38">
        <f t="shared" si="5"/>
        <v>95.680650603975295</v>
      </c>
      <c r="G21" s="38">
        <f t="shared" si="5"/>
        <v>653.35931530820017</v>
      </c>
      <c r="H21" s="38">
        <f t="shared" si="5"/>
        <v>606.43339823924623</v>
      </c>
      <c r="I21" s="38">
        <f t="shared" si="5"/>
        <v>1006.9246526428875</v>
      </c>
      <c r="J21" s="38">
        <f t="shared" si="5"/>
        <v>761.87923977491323</v>
      </c>
      <c r="K21" s="38">
        <f t="shared" si="5"/>
        <v>1377.0599696817899</v>
      </c>
      <c r="L21" s="38">
        <f t="shared" si="5"/>
        <v>1296.9638921728049</v>
      </c>
      <c r="M21" s="38">
        <f t="shared" si="5"/>
        <v>1573.114179581383</v>
      </c>
      <c r="N21" s="39">
        <f t="shared" si="5"/>
        <v>1483.3161284433013</v>
      </c>
    </row>
    <row r="23" spans="2:14" x14ac:dyDescent="0.3">
      <c r="B23" s="27" t="s">
        <v>35</v>
      </c>
      <c r="C23" s="28">
        <f>C16</f>
        <v>11670.9</v>
      </c>
      <c r="D23" s="28">
        <f t="shared" ref="D23:N23" si="6">D16</f>
        <v>11319.8</v>
      </c>
      <c r="E23" s="28">
        <f t="shared" si="6"/>
        <v>12772.3</v>
      </c>
      <c r="F23" s="28">
        <f t="shared" si="6"/>
        <v>12614.5</v>
      </c>
      <c r="G23" s="28">
        <f t="shared" si="6"/>
        <v>9525.4</v>
      </c>
      <c r="H23" s="28">
        <f t="shared" si="6"/>
        <v>9337.9</v>
      </c>
      <c r="I23" s="28">
        <f t="shared" si="6"/>
        <v>9453.2000000000007</v>
      </c>
      <c r="J23" s="28">
        <f t="shared" si="6"/>
        <v>10122.700000000001</v>
      </c>
      <c r="K23" s="28">
        <f t="shared" si="6"/>
        <v>7171</v>
      </c>
      <c r="L23" s="28">
        <f t="shared" si="6"/>
        <v>6926.6</v>
      </c>
      <c r="M23" s="28">
        <f t="shared" si="6"/>
        <v>7516.9</v>
      </c>
      <c r="N23" s="29">
        <f t="shared" si="6"/>
        <v>7579.7</v>
      </c>
    </row>
    <row r="24" spans="2:14" x14ac:dyDescent="0.3">
      <c r="B24" s="30"/>
      <c r="C24" s="32">
        <f>C17-C16</f>
        <v>143.32500000000073</v>
      </c>
      <c r="D24" s="32">
        <f t="shared" ref="D24:N24" si="7">D17-D16</f>
        <v>169.72500000000036</v>
      </c>
      <c r="E24" s="32">
        <f t="shared" si="7"/>
        <v>149.52500000000146</v>
      </c>
      <c r="F24" s="32">
        <f t="shared" si="7"/>
        <v>181.27499999999964</v>
      </c>
      <c r="G24" s="32">
        <f t="shared" si="7"/>
        <v>2008.4750000000004</v>
      </c>
      <c r="H24" s="32">
        <f t="shared" si="7"/>
        <v>1785.1000000000004</v>
      </c>
      <c r="I24" s="32">
        <f t="shared" si="7"/>
        <v>3117.4749999999985</v>
      </c>
      <c r="J24" s="32">
        <f t="shared" si="7"/>
        <v>2256.875</v>
      </c>
      <c r="K24" s="32">
        <f t="shared" si="7"/>
        <v>537.75</v>
      </c>
      <c r="L24" s="32">
        <f t="shared" si="7"/>
        <v>591.44999999999891</v>
      </c>
      <c r="M24" s="32">
        <f t="shared" si="7"/>
        <v>922.77499999999964</v>
      </c>
      <c r="N24" s="33">
        <f t="shared" si="7"/>
        <v>855.55000000000018</v>
      </c>
    </row>
    <row r="25" spans="2:14" x14ac:dyDescent="0.3">
      <c r="B25" s="30"/>
      <c r="C25" s="32">
        <f>C18-C17</f>
        <v>42.574999999998909</v>
      </c>
      <c r="D25" s="32">
        <f t="shared" ref="D25:N25" si="8">D18-D17</f>
        <v>38.675000000001091</v>
      </c>
      <c r="E25" s="32">
        <f t="shared" si="8"/>
        <v>47.774999999999636</v>
      </c>
      <c r="F25" s="32">
        <f t="shared" si="8"/>
        <v>58.725000000000364</v>
      </c>
      <c r="G25" s="32">
        <f t="shared" si="8"/>
        <v>110.32500000000073</v>
      </c>
      <c r="H25" s="32">
        <f t="shared" si="8"/>
        <v>209.79999999999927</v>
      </c>
      <c r="I25" s="32">
        <f t="shared" si="8"/>
        <v>209.67500000000109</v>
      </c>
      <c r="J25" s="32">
        <f t="shared" si="8"/>
        <v>231.125</v>
      </c>
      <c r="K25" s="32">
        <f t="shared" si="8"/>
        <v>586.10000000000036</v>
      </c>
      <c r="L25" s="32">
        <f t="shared" si="8"/>
        <v>609.35000000000036</v>
      </c>
      <c r="M25" s="32">
        <f t="shared" si="8"/>
        <v>703.52500000000146</v>
      </c>
      <c r="N25" s="33">
        <f t="shared" si="8"/>
        <v>682.79999999999927</v>
      </c>
    </row>
    <row r="26" spans="2:14" x14ac:dyDescent="0.3">
      <c r="B26" s="30"/>
      <c r="C26" s="32">
        <f>C19-C18</f>
        <v>17.475000000000364</v>
      </c>
      <c r="D26" s="32">
        <f t="shared" ref="D26:N26" si="9">D19-D18</f>
        <v>19.600000000000364</v>
      </c>
      <c r="E26" s="32">
        <f t="shared" si="9"/>
        <v>39.524999999999636</v>
      </c>
      <c r="F26" s="32">
        <f t="shared" si="9"/>
        <v>6.875</v>
      </c>
      <c r="G26" s="32">
        <f t="shared" si="9"/>
        <v>91.799999999999272</v>
      </c>
      <c r="H26" s="32">
        <f t="shared" si="9"/>
        <v>53.424999999999272</v>
      </c>
      <c r="I26" s="32">
        <f t="shared" si="9"/>
        <v>87.875</v>
      </c>
      <c r="J26" s="32">
        <f t="shared" si="9"/>
        <v>101.82499999999891</v>
      </c>
      <c r="K26" s="32">
        <f t="shared" si="9"/>
        <v>1998.25</v>
      </c>
      <c r="L26" s="32">
        <f t="shared" si="9"/>
        <v>1738.7250000000004</v>
      </c>
      <c r="M26" s="32">
        <f t="shared" si="9"/>
        <v>2086.1999999999989</v>
      </c>
      <c r="N26" s="33">
        <f t="shared" si="9"/>
        <v>1965.0500000000011</v>
      </c>
    </row>
    <row r="27" spans="2:14" x14ac:dyDescent="0.3">
      <c r="B27" s="31"/>
      <c r="C27" s="34">
        <f>C20-C19</f>
        <v>22.625</v>
      </c>
      <c r="D27" s="34">
        <f t="shared" ref="D27:N27" si="10">D20-D19</f>
        <v>21.799999999999272</v>
      </c>
      <c r="E27" s="34">
        <f t="shared" si="10"/>
        <v>19.975000000000364</v>
      </c>
      <c r="F27" s="34">
        <f t="shared" si="10"/>
        <v>10.225000000000364</v>
      </c>
      <c r="G27" s="34">
        <f t="shared" si="10"/>
        <v>171.60000000000036</v>
      </c>
      <c r="H27" s="34">
        <f t="shared" si="10"/>
        <v>108.37500000000182</v>
      </c>
      <c r="I27" s="34">
        <f t="shared" si="10"/>
        <v>141.97500000000036</v>
      </c>
      <c r="J27" s="34">
        <f t="shared" si="10"/>
        <v>125.57500000000073</v>
      </c>
      <c r="K27" s="34">
        <f t="shared" si="10"/>
        <v>582.79999999999927</v>
      </c>
      <c r="L27" s="34">
        <f t="shared" si="10"/>
        <v>674.27499999999964</v>
      </c>
      <c r="M27" s="34">
        <f t="shared" si="10"/>
        <v>687.70000000000073</v>
      </c>
      <c r="N27" s="35">
        <f t="shared" si="10"/>
        <v>554</v>
      </c>
    </row>
  </sheetData>
  <mergeCells count="6">
    <mergeCell ref="A1:E1"/>
    <mergeCell ref="F1:I1"/>
    <mergeCell ref="J1:M1"/>
    <mergeCell ref="G14:J14"/>
    <mergeCell ref="K14:N14"/>
    <mergeCell ref="C14:F14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iozone_results</vt:lpstr>
      <vt:lpstr>linpack_results</vt:lpstr>
      <vt:lpstr>netperf_results</vt:lpstr>
      <vt:lpstr>stream_results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Anna DeVries</dc:creator>
  <cp:lastModifiedBy>Anna DeVries</cp:lastModifiedBy>
  <cp:lastPrinted>2021-05-21T21:45:37Z</cp:lastPrinted>
  <dcterms:created xsi:type="dcterms:W3CDTF">2021-05-21T16:05:06Z</dcterms:created>
  <dcterms:modified xsi:type="dcterms:W3CDTF">2021-05-22T19:39:28Z</dcterms:modified>
</cp:coreProperties>
</file>